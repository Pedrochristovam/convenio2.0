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13"/>
  <workbookPr showInkAnnotation="0"/>
  <mc:AlternateContent xmlns:mc="http://schemas.openxmlformats.org/markup-compatibility/2006">
    <mc:Choice Requires="x15">
      <x15ac:absPath xmlns:x15ac="http://schemas.microsoft.com/office/spreadsheetml/2010/11/ac" url="N:\5. PRESTAÇAO DE CONTAS\1. MODELOS\2. ANÁLISE DE PREST. DE CONTAS COM PARECER TÉCNICO E FINANCEIRO DAS SECRETARIAS\"/>
    </mc:Choice>
  </mc:AlternateContent>
  <xr:revisionPtr revIDLastSave="7" documentId="11_BFC979AB7D9C273D85FE6FF2257E9EA1BB00AE17" xr6:coauthVersionLast="47" xr6:coauthVersionMax="47" xr10:uidLastSave="{502FDED3-A107-4E0D-82B9-95ED2C86A88C}"/>
  <bookViews>
    <workbookView xWindow="0" yWindow="0" windowWidth="2400" windowHeight="585" activeTab="1" xr2:uid="{00000000-000D-0000-FFFF-FFFF00000000}"/>
  </bookViews>
  <sheets>
    <sheet name="CONCILIAÇÃO FINANCEIRA - GECOV" sheetId="6" r:id="rId1"/>
    <sheet name="GECON" sheetId="8" r:id="rId2"/>
  </sheets>
  <definedNames>
    <definedName name="_xlnm._FilterDatabase" localSheetId="0" hidden="1">'CONCILIAÇÃO FINANCEIRA - GECOV'!$B$10:$P$31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8" l="1"/>
  <c r="C5" i="8"/>
  <c r="C119" i="6"/>
  <c r="J36" i="6"/>
  <c r="J37" i="6"/>
  <c r="J38" i="6"/>
  <c r="J39" i="6"/>
  <c r="J40" i="6"/>
  <c r="J41" i="6"/>
  <c r="G59" i="6" l="1"/>
  <c r="H59" i="6" s="1"/>
  <c r="I59" i="6" s="1"/>
  <c r="G60" i="6"/>
  <c r="H60" i="6" s="1"/>
  <c r="I60" i="6" s="1"/>
  <c r="G61" i="6"/>
  <c r="H61" i="6" s="1"/>
  <c r="I61" i="6" s="1"/>
  <c r="B57" i="6" l="1"/>
  <c r="B58" i="6"/>
  <c r="M20" i="8" l="1"/>
  <c r="I69" i="6"/>
  <c r="M19" i="8" l="1"/>
  <c r="C129" i="6" l="1"/>
  <c r="I72" i="6"/>
  <c r="F72" i="6"/>
  <c r="G72" i="6" s="1"/>
  <c r="I71" i="6"/>
  <c r="F71" i="6"/>
  <c r="G71" i="6" s="1"/>
  <c r="I70" i="6"/>
  <c r="K70" i="6" s="1"/>
  <c r="L70" i="6" s="1"/>
  <c r="F70" i="6"/>
  <c r="G70" i="6" s="1"/>
  <c r="K69" i="6"/>
  <c r="L69" i="6" s="1"/>
  <c r="F69" i="6"/>
  <c r="G69" i="6" s="1"/>
  <c r="I68" i="6"/>
  <c r="F68" i="6"/>
  <c r="G68" i="6" s="1"/>
  <c r="I67" i="6"/>
  <c r="F67" i="6"/>
  <c r="G67" i="6" s="1"/>
  <c r="I66" i="6"/>
  <c r="K66" i="6" s="1"/>
  <c r="L66" i="6" s="1"/>
  <c r="F66" i="6"/>
  <c r="G66" i="6" s="1"/>
  <c r="C9" i="8"/>
  <c r="E15" i="8" s="1"/>
  <c r="J35" i="6"/>
  <c r="K67" i="6" l="1"/>
  <c r="L67" i="6" s="1"/>
  <c r="K71" i="6"/>
  <c r="L71" i="6" s="1"/>
  <c r="K68" i="6"/>
  <c r="L68" i="6" s="1"/>
  <c r="K72" i="6"/>
  <c r="L72" i="6" s="1"/>
  <c r="D31" i="6"/>
  <c r="E31" i="6"/>
  <c r="F79" i="6" l="1"/>
  <c r="G79" i="6" s="1"/>
  <c r="F80" i="6"/>
  <c r="G80" i="6" s="1"/>
  <c r="F81" i="6"/>
  <c r="G81" i="6" s="1"/>
  <c r="F82" i="6"/>
  <c r="G82" i="6" s="1"/>
  <c r="F83" i="6"/>
  <c r="G83" i="6" s="1"/>
  <c r="F84" i="6"/>
  <c r="G84" i="6" s="1"/>
  <c r="F85" i="6"/>
  <c r="G85" i="6" s="1"/>
  <c r="F86" i="6"/>
  <c r="G86" i="6" s="1"/>
  <c r="F87" i="6"/>
  <c r="G87" i="6" s="1"/>
  <c r="F88" i="6"/>
  <c r="G88" i="6" s="1"/>
  <c r="F89" i="6"/>
  <c r="G89" i="6" s="1"/>
  <c r="F90" i="6"/>
  <c r="G90" i="6" s="1"/>
  <c r="F91" i="6"/>
  <c r="G91" i="6" s="1"/>
  <c r="F92" i="6"/>
  <c r="G92" i="6" s="1"/>
  <c r="F93" i="6"/>
  <c r="G93" i="6" s="1"/>
  <c r="F78" i="6"/>
  <c r="G78" i="6" s="1"/>
  <c r="I79" i="6" l="1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42" i="6" l="1"/>
  <c r="C8" i="8" l="1"/>
  <c r="E14" i="8" l="1"/>
  <c r="D107" i="6" l="1"/>
  <c r="D109" i="6" s="1"/>
  <c r="H53" i="6" s="1"/>
  <c r="I78" i="6"/>
  <c r="F102" i="6"/>
  <c r="F53" i="6" s="1"/>
  <c r="J101" i="6"/>
  <c r="G101" i="6"/>
  <c r="H101" i="6" s="1"/>
  <c r="J100" i="6"/>
  <c r="G100" i="6"/>
  <c r="H100" i="6" s="1"/>
  <c r="J99" i="6"/>
  <c r="G99" i="6"/>
  <c r="H99" i="6" s="1"/>
  <c r="I94" i="6" l="1"/>
  <c r="E53" i="6" s="1"/>
  <c r="J102" i="6"/>
  <c r="G53" i="6" s="1"/>
  <c r="I73" i="6" l="1"/>
  <c r="D47" i="6"/>
  <c r="H42" i="6"/>
  <c r="G42" i="6"/>
  <c r="F42" i="6"/>
  <c r="E46" i="6" l="1"/>
  <c r="G52" i="6" s="1"/>
  <c r="E45" i="6"/>
  <c r="C137" i="6" s="1"/>
  <c r="J42" i="6"/>
  <c r="G47" i="6"/>
  <c r="E16" i="8"/>
  <c r="E52" i="6" l="1"/>
  <c r="C125" i="6"/>
  <c r="C126" i="6" s="1"/>
  <c r="G46" i="6"/>
  <c r="H51" i="6"/>
  <c r="G45" i="6"/>
  <c r="E10" i="8"/>
  <c r="E51" i="6"/>
  <c r="C132" i="6" s="1"/>
  <c r="E47" i="6"/>
  <c r="G51" i="6"/>
  <c r="L73" i="6"/>
  <c r="D53" i="6" s="1"/>
  <c r="F52" i="6" l="1"/>
  <c r="F51" i="6"/>
  <c r="D52" i="6"/>
  <c r="D51" i="6"/>
  <c r="E17" i="8" l="1"/>
  <c r="C133" i="6"/>
  <c r="J15" i="6"/>
  <c r="K15" i="6"/>
  <c r="J16" i="6"/>
  <c r="K16" i="6"/>
  <c r="J17" i="6"/>
  <c r="K17" i="6"/>
  <c r="J18" i="6"/>
  <c r="K18" i="6"/>
  <c r="J19" i="6"/>
  <c r="K19" i="6"/>
  <c r="J20" i="6"/>
  <c r="K20" i="6"/>
  <c r="J21" i="6"/>
  <c r="K21" i="6"/>
  <c r="J22" i="6"/>
  <c r="K22" i="6"/>
  <c r="J23" i="6"/>
  <c r="K23" i="6"/>
  <c r="J24" i="6"/>
  <c r="K24" i="6"/>
  <c r="J25" i="6"/>
  <c r="K25" i="6"/>
  <c r="J26" i="6"/>
  <c r="K26" i="6"/>
  <c r="J27" i="6"/>
  <c r="K27" i="6"/>
  <c r="J28" i="6"/>
  <c r="K28" i="6"/>
  <c r="J29" i="6"/>
  <c r="K29" i="6"/>
  <c r="J30" i="6"/>
  <c r="K30" i="6"/>
  <c r="G15" i="6"/>
  <c r="H15" i="6"/>
  <c r="G16" i="6"/>
  <c r="H16" i="6"/>
  <c r="G17" i="6"/>
  <c r="H17" i="6"/>
  <c r="G18" i="6"/>
  <c r="H18" i="6"/>
  <c r="G19" i="6"/>
  <c r="H19" i="6"/>
  <c r="G20" i="6"/>
  <c r="H20" i="6"/>
  <c r="G21" i="6"/>
  <c r="H21" i="6"/>
  <c r="G22" i="6"/>
  <c r="H22" i="6"/>
  <c r="G23" i="6"/>
  <c r="H23" i="6"/>
  <c r="G24" i="6"/>
  <c r="H24" i="6"/>
  <c r="G25" i="6"/>
  <c r="H25" i="6"/>
  <c r="G26" i="6"/>
  <c r="H26" i="6"/>
  <c r="G27" i="6"/>
  <c r="H27" i="6"/>
  <c r="G28" i="6"/>
  <c r="H28" i="6"/>
  <c r="G29" i="6"/>
  <c r="H29" i="6"/>
  <c r="G30" i="6"/>
  <c r="H30" i="6"/>
  <c r="J12" i="6" l="1"/>
  <c r="K12" i="6"/>
  <c r="J13" i="6"/>
  <c r="K13" i="6"/>
  <c r="J14" i="6"/>
  <c r="K14" i="6"/>
  <c r="K11" i="6"/>
  <c r="J11" i="6"/>
  <c r="H12" i="6" l="1"/>
  <c r="H13" i="6"/>
  <c r="H14" i="6"/>
  <c r="H11" i="6"/>
  <c r="G12" i="6"/>
  <c r="G13" i="6"/>
  <c r="G14" i="6"/>
  <c r="G11" i="6"/>
  <c r="F11" i="6" l="1"/>
  <c r="F12" i="6" l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N9" i="8" l="1"/>
  <c r="O9" i="8"/>
  <c r="P9" i="8"/>
  <c r="M16" i="8"/>
  <c r="E21" i="8" s="1"/>
  <c r="J8" i="8" s="1"/>
  <c r="T32" i="8"/>
  <c r="C10" i="8" l="1"/>
  <c r="T38" i="8"/>
  <c r="J10" i="8"/>
  <c r="D9" i="8" l="1"/>
  <c r="D8" i="8"/>
  <c r="E8" i="8" s="1"/>
  <c r="T33" i="8" s="1"/>
  <c r="D10" i="8" l="1"/>
  <c r="E9" i="8"/>
  <c r="K8" i="8"/>
  <c r="K10" i="8" s="1"/>
  <c r="U33" i="8"/>
  <c r="J31" i="6" l="1"/>
  <c r="K31" i="6"/>
  <c r="L31" i="6" l="1"/>
  <c r="G31" i="6" l="1"/>
  <c r="H31" i="6"/>
  <c r="I31" i="6" l="1"/>
  <c r="E19" i="8" s="1"/>
  <c r="F10" i="8" l="1"/>
  <c r="I47" i="6"/>
  <c r="I46" i="6" l="1"/>
  <c r="I45" i="6"/>
  <c r="F9" i="8"/>
  <c r="F8" i="8"/>
  <c r="T34" i="8" s="1"/>
  <c r="E33" i="8"/>
  <c r="E26" i="8"/>
  <c r="E27" i="8" s="1"/>
  <c r="T36" i="8" l="1"/>
  <c r="H52" i="6" l="1"/>
  <c r="H45" i="6" l="1"/>
  <c r="C118" i="6"/>
  <c r="H46" i="6"/>
  <c r="J46" i="6"/>
  <c r="C52" i="6" s="1"/>
  <c r="I52" i="6" s="1"/>
  <c r="J45" i="6"/>
  <c r="F47" i="6"/>
  <c r="C117" i="6"/>
  <c r="C122" i="6" l="1"/>
  <c r="C127" i="6" s="1"/>
  <c r="C128" i="6" s="1"/>
  <c r="C130" i="6" s="1"/>
  <c r="B130" i="6" s="1"/>
  <c r="J47" i="6"/>
  <c r="C53" i="6" s="1"/>
  <c r="H47" i="6"/>
  <c r="C51" i="6"/>
  <c r="I51" i="6" s="1"/>
  <c r="K51" i="6" s="1"/>
  <c r="C57" i="6" l="1"/>
  <c r="I53" i="6"/>
  <c r="G57" i="6" l="1"/>
  <c r="H57" i="6" l="1"/>
  <c r="I57" i="6" s="1"/>
  <c r="C58" i="6" s="1"/>
  <c r="G58" i="6" s="1"/>
  <c r="H58" i="6" s="1"/>
  <c r="I58" i="6" s="1"/>
  <c r="E20" i="8" l="1"/>
  <c r="G8" i="8" s="1"/>
  <c r="I8" i="8" s="1"/>
  <c r="I10" i="8" s="1"/>
  <c r="C131" i="6"/>
  <c r="C138" i="6" s="1"/>
  <c r="B138" i="6" s="1"/>
  <c r="G10" i="8" l="1"/>
  <c r="T35" i="8"/>
  <c r="T40" i="8" s="1"/>
  <c r="L8" i="8"/>
  <c r="E25" i="8"/>
  <c r="H8" i="8"/>
  <c r="O8" i="8" l="1"/>
  <c r="L10" i="8"/>
  <c r="M8" i="8"/>
  <c r="P8" i="8" s="1"/>
  <c r="E32" i="8"/>
  <c r="E34" i="8" s="1"/>
  <c r="N8" i="8"/>
  <c r="H10" i="8"/>
  <c r="N10" i="8" s="1"/>
  <c r="E35" i="8" l="1"/>
  <c r="O10" i="8"/>
  <c r="M10" i="8"/>
  <c r="P10" i="8" s="1"/>
  <c r="U40" i="8" s="1"/>
  <c r="E36" i="8" l="1"/>
  <c r="E37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Gean Furtado Schmitt</author>
    <author>Samuel Cardoso Firmino Pinto (MGI)</author>
  </authors>
  <commentList>
    <comment ref="G65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
CÉLULA EM DESTAQUE NÃO NECESSITA MEXER, POIS POSSUI FÓRMULA</t>
        </r>
      </text>
    </comment>
    <comment ref="G77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
CÉLULA EM DESTAQUE NÃO NECESSITA MEXER, POIS POSSUI FÓRMULA</t>
        </r>
      </text>
    </comment>
    <comment ref="H98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
CÉLULA EM DESTAQUE NÃO NECESSITA MEXER, POIS POSSUI FÓRMULA</t>
        </r>
      </text>
    </comment>
    <comment ref="B136" authorId="1" shapeId="0" xr:uid="{00000000-0006-0000-0000-000004000000}">
      <text>
        <r>
          <rPr>
            <b/>
            <sz val="9"/>
            <color indexed="81"/>
            <rFont val="Segoe UI"/>
            <family val="2"/>
          </rPr>
          <t>Samuel Cardoso Firmino Pinto (MGI):</t>
        </r>
        <r>
          <rPr>
            <sz val="9"/>
            <color indexed="81"/>
            <rFont val="Segoe UI"/>
            <family val="2"/>
          </rPr>
          <t xml:space="preserve">
Inserir caso haja outras cobranças ou devoluções. Havendo devolução, deixar sinal de negativo (-), havendo outra cobrança, usar positivo (+).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Samuel Cardoso Firmino Pinto (MGI)</author>
  </authors>
  <commentList>
    <comment ref="E17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Samuel Cardoso Firmino Pinto (MGI):</t>
        </r>
        <r>
          <rPr>
            <sz val="9"/>
            <color indexed="81"/>
            <rFont val="Segoe UI"/>
            <family val="2"/>
          </rPr>
          <t xml:space="preserve">
Formado por "Não Exec. Parcial/Omissão Parcial" +Glosa/Nota Técnica" + "Despesas Indevidas".  PROPORCIONAL</t>
        </r>
      </text>
    </comment>
    <comment ref="E20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Samuel Cardoso Firmino Pinto (MGI):</t>
        </r>
        <r>
          <rPr>
            <sz val="9"/>
            <color indexed="81"/>
            <rFont val="Segoe UI"/>
            <family val="2"/>
          </rPr>
          <t xml:space="preserve">
Proporcional</t>
        </r>
      </text>
    </comment>
  </commentList>
</comments>
</file>

<file path=xl/sharedStrings.xml><?xml version="1.0" encoding="utf-8"?>
<sst xmlns="http://schemas.openxmlformats.org/spreadsheetml/2006/main" count="201" uniqueCount="161">
  <si>
    <t>CONCILIAÇÃO FINANCEIRA - GECOV</t>
  </si>
  <si>
    <t>MOVIMENTAÇÃO FINANCEIRA</t>
  </si>
  <si>
    <t>Convênio:</t>
  </si>
  <si>
    <t>Convenente:</t>
  </si>
  <si>
    <t>Vigência:</t>
  </si>
  <si>
    <t>CC:</t>
  </si>
  <si>
    <t>Data</t>
  </si>
  <si>
    <t>Item</t>
  </si>
  <si>
    <t>Entrada</t>
  </si>
  <si>
    <t>Saída</t>
  </si>
  <si>
    <t>Saldo</t>
  </si>
  <si>
    <t>Aplicação</t>
  </si>
  <si>
    <t>Resgate</t>
  </si>
  <si>
    <t>Rendimentos</t>
  </si>
  <si>
    <t>Tarifa Paga</t>
  </si>
  <si>
    <t>Tarifa Devolvida</t>
  </si>
  <si>
    <t>Saldo de tarifa</t>
  </si>
  <si>
    <t>TOTAL</t>
  </si>
  <si>
    <t>CONTRATO EMPRESA:</t>
  </si>
  <si>
    <t>NF FLS</t>
  </si>
  <si>
    <t>NE</t>
  </si>
  <si>
    <t>NF</t>
  </si>
  <si>
    <t>DATA</t>
  </si>
  <si>
    <t>VALOR BRUTO</t>
  </si>
  <si>
    <t>INSS</t>
  </si>
  <si>
    <t>IR</t>
  </si>
  <si>
    <t>ISS</t>
  </si>
  <si>
    <t>LÍQUIDO</t>
  </si>
  <si>
    <t>DATA PG</t>
  </si>
  <si>
    <t>ISS FLS</t>
  </si>
  <si>
    <t>INSS FLS</t>
  </si>
  <si>
    <t>PREVISÃO PT</t>
  </si>
  <si>
    <t>%</t>
  </si>
  <si>
    <t>REPASSADO</t>
  </si>
  <si>
    <t>EXECUTADO</t>
  </si>
  <si>
    <t>SALDO REPASSE</t>
  </si>
  <si>
    <t>RENDIMENTO</t>
  </si>
  <si>
    <t>SALDO</t>
  </si>
  <si>
    <t>Dados básicos da correção pela Selic</t>
  </si>
  <si>
    <t>CONCEDENTE</t>
  </si>
  <si>
    <t>CONVENENTE</t>
  </si>
  <si>
    <t>PROPORCIONALIDADE</t>
  </si>
  <si>
    <t>REND NÃO APLIC</t>
  </si>
  <si>
    <t>REND TARIFA</t>
  </si>
  <si>
    <t>NOTA TÉCNICA</t>
  </si>
  <si>
    <t>REND. NOTA TÉC</t>
  </si>
  <si>
    <t>ATRASO DEV.</t>
  </si>
  <si>
    <t>SALDO DEVOLVIDO</t>
  </si>
  <si>
    <t>Dev. Maior/Menor</t>
  </si>
  <si>
    <t>CONCEDENTE - %</t>
  </si>
  <si>
    <t>CONVENENTE - %</t>
  </si>
  <si>
    <t>SALDO DEVEDOR APURADO</t>
  </si>
  <si>
    <t>OUTRAS DEVOLUÇÕES (SE HOUVER)</t>
  </si>
  <si>
    <t>Valor</t>
  </si>
  <si>
    <t>Valor Devolvido</t>
  </si>
  <si>
    <t>Data da Devolução</t>
  </si>
  <si>
    <t>Percentual Calculadora Cidadão (POUP ou CDI)</t>
  </si>
  <si>
    <t>Rendimento</t>
  </si>
  <si>
    <t>Saldo Devedor Atualizado</t>
  </si>
  <si>
    <t>CÁLCULO DO VALOR NÃO APLICADO</t>
  </si>
  <si>
    <t xml:space="preserve">ATUALIZAÇÃO </t>
  </si>
  <si>
    <t>Histórico</t>
  </si>
  <si>
    <t>Data Inicial</t>
  </si>
  <si>
    <t>Data da aplicação ou interrupção</t>
  </si>
  <si>
    <t>Valor não aplicado</t>
  </si>
  <si>
    <t>Dias não aplicado</t>
  </si>
  <si>
    <t>POUP ou CDI</t>
  </si>
  <si>
    <t xml:space="preserve">Valor percentual da calculadora cidadão </t>
  </si>
  <si>
    <t>Valor do rendimento se tivesse sido aplicado (Dano)</t>
  </si>
  <si>
    <r>
      <t xml:space="preserve">Referencia: Poup ou Selic </t>
    </r>
    <r>
      <rPr>
        <b/>
        <sz val="10"/>
        <color rgb="FFFF0000"/>
        <rFont val="Times New Roman"/>
        <family val="1"/>
      </rPr>
      <t>(data da devolução)</t>
    </r>
  </si>
  <si>
    <t xml:space="preserve">Valor calculado </t>
  </si>
  <si>
    <t>Valor atualizado</t>
  </si>
  <si>
    <t>TOTAL NÃO APLICADO</t>
  </si>
  <si>
    <t>TARIFA BANCÁRIA</t>
  </si>
  <si>
    <r>
      <t>Data da aplicação</t>
    </r>
    <r>
      <rPr>
        <b/>
        <sz val="10"/>
        <color rgb="FFFF0000"/>
        <rFont val="Times New Roman"/>
        <family val="1"/>
      </rPr>
      <t xml:space="preserve"> (DATA DEVOLUÇÃO)</t>
    </r>
  </si>
  <si>
    <t xml:space="preserve">TARIFA  </t>
  </si>
  <si>
    <t>VR. TARIFA BANCÁRIA</t>
  </si>
  <si>
    <t>ATUALIZAÇÃO</t>
  </si>
  <si>
    <t>Nota Fiscal</t>
  </si>
  <si>
    <t>Data Inicial - (emissão NF)</t>
  </si>
  <si>
    <r>
      <t xml:space="preserve">Data da aplicação </t>
    </r>
    <r>
      <rPr>
        <b/>
        <sz val="10"/>
        <color rgb="FFFF0000"/>
        <rFont val="Times New Roman"/>
        <family val="1"/>
      </rPr>
      <t>(DATA DEVOLUÇÃO)</t>
    </r>
  </si>
  <si>
    <t>1ª Medição</t>
  </si>
  <si>
    <t>2ª Medição</t>
  </si>
  <si>
    <t>VR. NOTA TÉCNICA</t>
  </si>
  <si>
    <t>DEVOLUÇÃO ATRASO - SELIC</t>
  </si>
  <si>
    <t>Data: 31/12/2014</t>
  </si>
  <si>
    <t>Vr Extrato</t>
  </si>
  <si>
    <t>31/12/14 A 02/02/15</t>
  </si>
  <si>
    <t>Atualização</t>
  </si>
  <si>
    <t>Vr. Dev. Atualizado</t>
  </si>
  <si>
    <t>Data: 02/02/2015</t>
  </si>
  <si>
    <t>Vr. Devolvido</t>
  </si>
  <si>
    <t>Atualização apurada</t>
  </si>
  <si>
    <t>onde irá extrair informações para a planilha GECON.</t>
  </si>
  <si>
    <t>DEMONSTRATIVO FINANCEIRO (DF)</t>
  </si>
  <si>
    <t>Receitas</t>
  </si>
  <si>
    <t>Concedente</t>
  </si>
  <si>
    <t>Contrapartida</t>
  </si>
  <si>
    <t>Recursos Próprios Convenente (com T.A. formalizada)</t>
  </si>
  <si>
    <t>Outras Receitas formalizadas -</t>
  </si>
  <si>
    <t>Total de receitas</t>
  </si>
  <si>
    <t>(-) Despesas</t>
  </si>
  <si>
    <t>Cheques</t>
  </si>
  <si>
    <t>TED’S – Depósito Bancário</t>
  </si>
  <si>
    <t>Total Despesas</t>
  </si>
  <si>
    <t>(=) SALDO</t>
  </si>
  <si>
    <t>(*) Cálculo saldo para dev. MGI (proporcional)</t>
  </si>
  <si>
    <t>(-) Devolução de Saldo Efetuada</t>
  </si>
  <si>
    <t>(+) Rend. Não Auferido - Aportes (proporcional)</t>
  </si>
  <si>
    <t>(+) Rend. Não Auferido - Tarifas (proporcional)</t>
  </si>
  <si>
    <t>(+) Nota Técnica+Rend. Nota Técn. (xx,xx%)</t>
  </si>
  <si>
    <t>(+) Devolução Ofício 028/2017</t>
  </si>
  <si>
    <t>(+) Devolução Ofício 051/2022</t>
  </si>
  <si>
    <t>(+/-) Outros</t>
  </si>
  <si>
    <t>(+) Aporte de Contrapartida a Menor (Proporcional)</t>
  </si>
  <si>
    <t>Informações Financeiras do Convênio - GECON</t>
  </si>
  <si>
    <t>Convenente</t>
  </si>
  <si>
    <t>Nº do Convênio</t>
  </si>
  <si>
    <t>Participantes</t>
  </si>
  <si>
    <t>Valor Repassado</t>
  </si>
  <si>
    <t>Participação %</t>
  </si>
  <si>
    <t>Despesa Realizada</t>
  </si>
  <si>
    <t>Rendimento Selic</t>
  </si>
  <si>
    <t>Devolução realizada (I)</t>
  </si>
  <si>
    <t xml:space="preserve">Devolução devida em função da proporcionalidade dos recursos (II) </t>
  </si>
  <si>
    <t>Saldo a devolver/(receber) para o convenente (III) = (I) - (II) - (IV)</t>
  </si>
  <si>
    <t>Principal</t>
  </si>
  <si>
    <t>Total</t>
  </si>
  <si>
    <t>MGI</t>
  </si>
  <si>
    <t>Municipio</t>
  </si>
  <si>
    <t>Informações Financeiras do Convênio</t>
  </si>
  <si>
    <t>Valor repassado ao convenente</t>
  </si>
  <si>
    <t>Quadro I</t>
  </si>
  <si>
    <t>Despesa realizada</t>
  </si>
  <si>
    <t>Devolução realizada pelo Convenente</t>
  </si>
  <si>
    <t>Despesa não autorizada (IV)</t>
  </si>
  <si>
    <t>DAE - recurso transferido para MGI</t>
  </si>
  <si>
    <t>Tarifas Bancarias Indevidas (IV)*</t>
  </si>
  <si>
    <t>DAE - recurso com EMG</t>
  </si>
  <si>
    <t>Rendimento do repasse</t>
  </si>
  <si>
    <t>Recurso Transferido direto para MGI</t>
  </si>
  <si>
    <t>¬ Recurso Devolvido</t>
  </si>
  <si>
    <t>Devolução Realizada pelo Convenente (Quadro I )</t>
  </si>
  <si>
    <t xml:space="preserve">* apenas tarifas não estornadas ou não devolvidas à conta do Convênio </t>
  </si>
  <si>
    <t>Contabilizações</t>
  </si>
  <si>
    <t>Receita de rendimentos sobre aplicações na convenente</t>
  </si>
  <si>
    <t xml:space="preserve">Baixa de Obrigações por Repasse </t>
  </si>
  <si>
    <t>Preencher apenas as abas em amarelo</t>
  </si>
  <si>
    <t>Baixa Contábil - Redução do capital integralizado - mediante aprovação do CA (1)</t>
  </si>
  <si>
    <t>(1)Repasse realizado - Parte Concedente</t>
  </si>
  <si>
    <t>Destinação dos recursos devolvidos</t>
  </si>
  <si>
    <t>Devolução ao Estado de MG</t>
  </si>
  <si>
    <t>Despesa Proporcional</t>
  </si>
  <si>
    <t>Recursos remanescentes da transação - Devolução devida (II)</t>
  </si>
  <si>
    <t>Rendimento Proporcional</t>
  </si>
  <si>
    <t>Devolução recebida a maior - pgto para convenente (III)</t>
  </si>
  <si>
    <t>Devolução recebida a menor - receber do convenente (III)</t>
  </si>
  <si>
    <t>Despesa não autorizada</t>
  </si>
  <si>
    <t>Recursos remanescentes da transação - Devolução realizada (I)</t>
  </si>
  <si>
    <t>Devolução</t>
  </si>
  <si>
    <t>Saldo a( Devolver) ou Receber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</si>
</sst>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.00;\-&quot;R$&quot;#,##0.00"/>
    <numFmt numFmtId="165" formatCode="&quot;R$&quot;#,##0.00;[Red]\-&quot;R$&quot;#,##0.00"/>
    <numFmt numFmtId="166" formatCode="_-&quot;R$&quot;* #,##0.00_-;\-&quot;R$&quot;* #,##0.00_-;_-&quot;R$&quot;* &quot;-&quot;??_-;_-@_-"/>
    <numFmt numFmtId="167" formatCode="&quot;R$&quot;\ #,##0.00"/>
    <numFmt numFmtId="168" formatCode="&quot;R$&quot;#,##0.00"/>
    <numFmt numFmtId="169" formatCode="dd/mm/yy;@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FFFFFF"/>
      <name val="Times New Roman"/>
      <family val="1"/>
    </font>
    <font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FFFFFF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67">
    <xf numFmtId="0" fontId="0" fillId="0" borderId="0" xfId="0"/>
    <xf numFmtId="0" fontId="4" fillId="0" borderId="0" xfId="0" applyFont="1"/>
    <xf numFmtId="0" fontId="4" fillId="2" borderId="0" xfId="0" applyFont="1" applyFill="1"/>
    <xf numFmtId="0" fontId="5" fillId="0" borderId="0" xfId="0" applyFont="1"/>
    <xf numFmtId="43" fontId="5" fillId="0" borderId="10" xfId="0" applyNumberFormat="1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43" fontId="5" fillId="2" borderId="12" xfId="0" applyNumberFormat="1" applyFont="1" applyFill="1" applyBorder="1"/>
    <xf numFmtId="0" fontId="5" fillId="2" borderId="13" xfId="0" applyFont="1" applyFill="1" applyBorder="1"/>
    <xf numFmtId="0" fontId="5" fillId="2" borderId="12" xfId="0" applyFont="1" applyFill="1" applyBorder="1"/>
    <xf numFmtId="43" fontId="5" fillId="7" borderId="10" xfId="0" applyNumberFormat="1" applyFont="1" applyFill="1" applyBorder="1"/>
    <xf numFmtId="43" fontId="4" fillId="0" borderId="12" xfId="0" applyNumberFormat="1" applyFont="1" applyBorder="1"/>
    <xf numFmtId="43" fontId="4" fillId="2" borderId="0" xfId="0" applyNumberFormat="1" applyFont="1" applyFill="1"/>
    <xf numFmtId="43" fontId="4" fillId="0" borderId="12" xfId="3" applyFont="1" applyBorder="1"/>
    <xf numFmtId="43" fontId="5" fillId="7" borderId="12" xfId="0" applyNumberFormat="1" applyFont="1" applyFill="1" applyBorder="1"/>
    <xf numFmtId="43" fontId="4" fillId="0" borderId="0" xfId="0" applyNumberFormat="1" applyFont="1"/>
    <xf numFmtId="43" fontId="5" fillId="2" borderId="15" xfId="3" applyFont="1" applyFill="1" applyBorder="1"/>
    <xf numFmtId="0" fontId="5" fillId="2" borderId="16" xfId="0" applyFont="1" applyFill="1" applyBorder="1"/>
    <xf numFmtId="0" fontId="4" fillId="8" borderId="15" xfId="0" applyFont="1" applyFill="1" applyBorder="1"/>
    <xf numFmtId="43" fontId="5" fillId="2" borderId="0" xfId="0" applyNumberFormat="1" applyFont="1" applyFill="1"/>
    <xf numFmtId="43" fontId="5" fillId="3" borderId="9" xfId="0" applyNumberFormat="1" applyFont="1" applyFill="1" applyBorder="1"/>
    <xf numFmtId="0" fontId="6" fillId="5" borderId="0" xfId="0" applyFont="1" applyFill="1"/>
    <xf numFmtId="43" fontId="5" fillId="2" borderId="9" xfId="0" applyNumberFormat="1" applyFont="1" applyFill="1" applyBorder="1"/>
    <xf numFmtId="43" fontId="4" fillId="2" borderId="6" xfId="0" applyNumberFormat="1" applyFont="1" applyFill="1" applyBorder="1"/>
    <xf numFmtId="0" fontId="4" fillId="9" borderId="2" xfId="0" applyFont="1" applyFill="1" applyBorder="1"/>
    <xf numFmtId="0" fontId="7" fillId="2" borderId="0" xfId="0" applyFont="1" applyFill="1"/>
    <xf numFmtId="43" fontId="4" fillId="0" borderId="10" xfId="0" applyNumberFormat="1" applyFont="1" applyBorder="1"/>
    <xf numFmtId="0" fontId="4" fillId="2" borderId="14" xfId="0" applyFont="1" applyFill="1" applyBorder="1"/>
    <xf numFmtId="0" fontId="4" fillId="2" borderId="11" xfId="0" applyFont="1" applyFill="1" applyBorder="1"/>
    <xf numFmtId="43" fontId="4" fillId="2" borderId="1" xfId="3" applyFont="1" applyFill="1" applyBorder="1"/>
    <xf numFmtId="0" fontId="4" fillId="2" borderId="13" xfId="0" applyFont="1" applyFill="1" applyBorder="1"/>
    <xf numFmtId="43" fontId="4" fillId="2" borderId="12" xfId="0" applyNumberFormat="1" applyFont="1" applyFill="1" applyBorder="1"/>
    <xf numFmtId="0" fontId="8" fillId="2" borderId="0" xfId="0" applyFont="1" applyFill="1"/>
    <xf numFmtId="43" fontId="8" fillId="10" borderId="18" xfId="0" applyNumberFormat="1" applyFont="1" applyFill="1" applyBorder="1"/>
    <xf numFmtId="0" fontId="8" fillId="10" borderId="19" xfId="0" applyFont="1" applyFill="1" applyBorder="1"/>
    <xf numFmtId="0" fontId="9" fillId="10" borderId="20" xfId="0" applyFont="1" applyFill="1" applyBorder="1"/>
    <xf numFmtId="0" fontId="5" fillId="2" borderId="0" xfId="0" applyFont="1" applyFill="1"/>
    <xf numFmtId="43" fontId="4" fillId="2" borderId="0" xfId="3" applyFont="1" applyFill="1"/>
    <xf numFmtId="43" fontId="4" fillId="0" borderId="1" xfId="0" applyNumberFormat="1" applyFont="1" applyBorder="1"/>
    <xf numFmtId="43" fontId="4" fillId="11" borderId="1" xfId="3" applyFont="1" applyFill="1" applyBorder="1"/>
    <xf numFmtId="43" fontId="4" fillId="11" borderId="1" xfId="0" applyNumberFormat="1" applyFont="1" applyFill="1" applyBorder="1"/>
    <xf numFmtId="43" fontId="4" fillId="0" borderId="1" xfId="3" applyFont="1" applyBorder="1"/>
    <xf numFmtId="0" fontId="4" fillId="0" borderId="1" xfId="0" applyFont="1" applyBorder="1"/>
    <xf numFmtId="43" fontId="4" fillId="6" borderId="1" xfId="0" applyNumberFormat="1" applyFont="1" applyFill="1" applyBorder="1"/>
    <xf numFmtId="43" fontId="4" fillId="6" borderId="1" xfId="3" applyFont="1" applyFill="1" applyBorder="1"/>
    <xf numFmtId="2" fontId="4" fillId="0" borderId="1" xfId="0" applyNumberFormat="1" applyFont="1" applyBorder="1"/>
    <xf numFmtId="0" fontId="5" fillId="3" borderId="1" xfId="0" applyFont="1" applyFill="1" applyBorder="1" applyAlignment="1">
      <alignment wrapText="1"/>
    </xf>
    <xf numFmtId="43" fontId="4" fillId="0" borderId="1" xfId="3" applyFont="1" applyFill="1" applyBorder="1" applyProtection="1"/>
    <xf numFmtId="43" fontId="4" fillId="0" borderId="1" xfId="3" applyFont="1" applyFill="1" applyBorder="1"/>
    <xf numFmtId="43" fontId="4" fillId="5" borderId="12" xfId="0" applyNumberFormat="1" applyFont="1" applyFill="1" applyBorder="1" applyAlignment="1" applyProtection="1">
      <alignment horizontal="right"/>
      <protection locked="0"/>
    </xf>
    <xf numFmtId="43" fontId="4" fillId="5" borderId="12" xfId="0" applyNumberFormat="1" applyFont="1" applyFill="1" applyBorder="1" applyProtection="1">
      <protection locked="0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10" fillId="2" borderId="0" xfId="0" applyFont="1" applyFill="1" applyAlignment="1">
      <alignment horizontal="center" wrapText="1"/>
    </xf>
    <xf numFmtId="164" fontId="4" fillId="0" borderId="1" xfId="3" applyNumberFormat="1" applyFont="1" applyFill="1" applyBorder="1" applyProtection="1"/>
    <xf numFmtId="0" fontId="13" fillId="0" borderId="32" xfId="0" applyFont="1" applyBorder="1" applyAlignment="1">
      <alignment horizontal="center" vertical="center"/>
    </xf>
    <xf numFmtId="0" fontId="14" fillId="2" borderId="1" xfId="0" applyFont="1" applyFill="1" applyBorder="1" applyAlignment="1" applyProtection="1">
      <alignment horizontal="center" vertical="center" wrapText="1"/>
      <protection locked="0"/>
    </xf>
    <xf numFmtId="10" fontId="1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3" xfId="0" applyFont="1" applyFill="1" applyBorder="1" applyAlignment="1" applyProtection="1">
      <alignment horizontal="center" vertical="center" wrapText="1"/>
      <protection locked="0"/>
    </xf>
    <xf numFmtId="0" fontId="14" fillId="2" borderId="33" xfId="0" applyFont="1" applyFill="1" applyBorder="1" applyAlignment="1" applyProtection="1">
      <alignment horizontal="center" vertical="center" wrapText="1"/>
      <protection locked="0"/>
    </xf>
    <xf numFmtId="0" fontId="15" fillId="0" borderId="32" xfId="0" applyFont="1" applyBorder="1"/>
    <xf numFmtId="14" fontId="16" fillId="2" borderId="1" xfId="0" applyNumberFormat="1" applyFont="1" applyFill="1" applyBorder="1" applyAlignment="1" applyProtection="1">
      <alignment horizontal="center" vertical="center"/>
      <protection locked="0"/>
    </xf>
    <xf numFmtId="44" fontId="16" fillId="2" borderId="1" xfId="1" applyFont="1" applyFill="1" applyBorder="1" applyAlignment="1" applyProtection="1">
      <alignment horizontal="right" vertical="center"/>
      <protection locked="0"/>
    </xf>
    <xf numFmtId="1" fontId="16" fillId="2" borderId="1" xfId="0" applyNumberFormat="1" applyFont="1" applyFill="1" applyBorder="1" applyAlignment="1">
      <alignment horizontal="center" vertical="center"/>
    </xf>
    <xf numFmtId="10" fontId="17" fillId="0" borderId="1" xfId="0" applyNumberFormat="1" applyFont="1" applyBorder="1"/>
    <xf numFmtId="8" fontId="16" fillId="2" borderId="34" xfId="4" applyNumberFormat="1" applyFont="1" applyFill="1" applyBorder="1" applyAlignment="1" applyProtection="1">
      <alignment horizontal="center" vertical="center"/>
    </xf>
    <xf numFmtId="0" fontId="15" fillId="0" borderId="0" xfId="0" applyFont="1"/>
    <xf numFmtId="0" fontId="15" fillId="4" borderId="0" xfId="0" applyFont="1" applyFill="1"/>
    <xf numFmtId="43" fontId="15" fillId="0" borderId="0" xfId="3" applyFont="1"/>
    <xf numFmtId="14" fontId="13" fillId="4" borderId="0" xfId="0" applyNumberFormat="1" applyFont="1" applyFill="1"/>
    <xf numFmtId="0" fontId="13" fillId="3" borderId="0" xfId="0" applyFont="1" applyFill="1"/>
    <xf numFmtId="0" fontId="13" fillId="3" borderId="7" xfId="0" applyFont="1" applyFill="1" applyBorder="1"/>
    <xf numFmtId="167" fontId="13" fillId="3" borderId="7" xfId="0" applyNumberFormat="1" applyFont="1" applyFill="1" applyBorder="1"/>
    <xf numFmtId="167" fontId="13" fillId="3" borderId="0" xfId="0" applyNumberFormat="1" applyFont="1" applyFill="1"/>
    <xf numFmtId="14" fontId="15" fillId="5" borderId="0" xfId="0" applyNumberFormat="1" applyFont="1" applyFill="1" applyProtection="1">
      <protection locked="0"/>
    </xf>
    <xf numFmtId="0" fontId="15" fillId="5" borderId="0" xfId="0" applyFont="1" applyFill="1" applyProtection="1">
      <protection locked="0"/>
    </xf>
    <xf numFmtId="167" fontId="15" fillId="5" borderId="0" xfId="0" applyNumberFormat="1" applyFont="1" applyFill="1" applyProtection="1">
      <protection locked="0"/>
    </xf>
    <xf numFmtId="167" fontId="15" fillId="4" borderId="7" xfId="0" applyNumberFormat="1" applyFont="1" applyFill="1" applyBorder="1"/>
    <xf numFmtId="167" fontId="15" fillId="4" borderId="0" xfId="0" applyNumberFormat="1" applyFont="1" applyFill="1"/>
    <xf numFmtId="167" fontId="15" fillId="0" borderId="0" xfId="0" applyNumberFormat="1" applyFont="1"/>
    <xf numFmtId="0" fontId="15" fillId="4" borderId="7" xfId="0" applyFont="1" applyFill="1" applyBorder="1"/>
    <xf numFmtId="43" fontId="15" fillId="0" borderId="0" xfId="0" applyNumberFormat="1" applyFont="1"/>
    <xf numFmtId="14" fontId="13" fillId="3" borderId="0" xfId="0" applyNumberFormat="1" applyFont="1" applyFill="1"/>
    <xf numFmtId="167" fontId="15" fillId="3" borderId="0" xfId="0" applyNumberFormat="1" applyFont="1" applyFill="1"/>
    <xf numFmtId="0" fontId="13" fillId="0" borderId="0" xfId="0" applyFont="1"/>
    <xf numFmtId="168" fontId="15" fillId="0" borderId="0" xfId="0" applyNumberFormat="1" applyFont="1"/>
    <xf numFmtId="0" fontId="13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168" fontId="13" fillId="0" borderId="1" xfId="0" applyNumberFormat="1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169" fontId="15" fillId="0" borderId="1" xfId="0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49" fontId="15" fillId="0" borderId="0" xfId="0" applyNumberFormat="1" applyFont="1" applyAlignment="1">
      <alignment horizontal="center"/>
    </xf>
    <xf numFmtId="169" fontId="15" fillId="0" borderId="0" xfId="0" applyNumberFormat="1" applyFont="1" applyAlignment="1">
      <alignment horizontal="center"/>
    </xf>
    <xf numFmtId="4" fontId="13" fillId="0" borderId="1" xfId="0" applyNumberFormat="1" applyFont="1" applyBorder="1"/>
    <xf numFmtId="4" fontId="15" fillId="0" borderId="0" xfId="0" applyNumberFormat="1" applyFont="1"/>
    <xf numFmtId="4" fontId="19" fillId="0" borderId="0" xfId="0" applyNumberFormat="1" applyFont="1"/>
    <xf numFmtId="44" fontId="15" fillId="0" borderId="1" xfId="1" applyFont="1" applyBorder="1"/>
    <xf numFmtId="10" fontId="15" fillId="0" borderId="1" xfId="2" applyNumberFormat="1" applyFont="1" applyBorder="1" applyAlignment="1">
      <alignment horizontal="center"/>
    </xf>
    <xf numFmtId="44" fontId="15" fillId="0" borderId="0" xfId="1" applyFont="1" applyBorder="1"/>
    <xf numFmtId="10" fontId="17" fillId="0" borderId="0" xfId="0" applyNumberFormat="1" applyFont="1"/>
    <xf numFmtId="0" fontId="20" fillId="0" borderId="0" xfId="0" applyFont="1" applyAlignment="1">
      <alignment vertical="center"/>
    </xf>
    <xf numFmtId="44" fontId="13" fillId="0" borderId="0" xfId="1" applyFont="1" applyBorder="1"/>
    <xf numFmtId="168" fontId="13" fillId="0" borderId="0" xfId="0" applyNumberFormat="1" applyFont="1" applyAlignment="1">
      <alignment horizontal="center"/>
    </xf>
    <xf numFmtId="168" fontId="15" fillId="0" borderId="0" xfId="0" applyNumberFormat="1" applyFont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2" fillId="2" borderId="0" xfId="0" applyFont="1" applyFill="1"/>
    <xf numFmtId="0" fontId="14" fillId="2" borderId="0" xfId="0" applyFont="1" applyFill="1" applyAlignment="1" applyProtection="1">
      <alignment horizontal="center" vertical="center" wrapText="1"/>
      <protection locked="0"/>
    </xf>
    <xf numFmtId="8" fontId="16" fillId="2" borderId="0" xfId="4" applyNumberFormat="1" applyFont="1" applyFill="1" applyBorder="1" applyAlignment="1" applyProtection="1">
      <alignment horizontal="center" vertical="center"/>
    </xf>
    <xf numFmtId="8" fontId="13" fillId="0" borderId="0" xfId="0" applyNumberFormat="1" applyFont="1"/>
    <xf numFmtId="0" fontId="14" fillId="2" borderId="34" xfId="0" applyFont="1" applyFill="1" applyBorder="1" applyAlignment="1" applyProtection="1">
      <alignment horizontal="center" vertical="center" wrapText="1"/>
      <protection locked="0"/>
    </xf>
    <xf numFmtId="8" fontId="18" fillId="2" borderId="34" xfId="4" applyNumberFormat="1" applyFont="1" applyFill="1" applyBorder="1" applyAlignment="1" applyProtection="1">
      <alignment horizontal="center" vertical="center"/>
    </xf>
    <xf numFmtId="44" fontId="13" fillId="0" borderId="21" xfId="0" applyNumberFormat="1" applyFont="1" applyBorder="1"/>
    <xf numFmtId="8" fontId="13" fillId="0" borderId="41" xfId="0" applyNumberFormat="1" applyFont="1" applyBorder="1"/>
    <xf numFmtId="0" fontId="15" fillId="0" borderId="32" xfId="0" applyFont="1" applyBorder="1" applyAlignment="1">
      <alignment vertical="center"/>
    </xf>
    <xf numFmtId="8" fontId="13" fillId="0" borderId="45" xfId="0" applyNumberFormat="1" applyFont="1" applyBorder="1"/>
    <xf numFmtId="0" fontId="15" fillId="0" borderId="13" xfId="0" applyFont="1" applyBorder="1"/>
    <xf numFmtId="168" fontId="15" fillId="0" borderId="12" xfId="0" applyNumberFormat="1" applyFont="1" applyBorder="1"/>
    <xf numFmtId="168" fontId="15" fillId="0" borderId="10" xfId="0" applyNumberFormat="1" applyFont="1" applyBorder="1"/>
    <xf numFmtId="0" fontId="13" fillId="0" borderId="42" xfId="0" applyFont="1" applyBorder="1" applyAlignment="1">
      <alignment horizontal="center"/>
    </xf>
    <xf numFmtId="0" fontId="13" fillId="0" borderId="43" xfId="0" applyFont="1" applyBorder="1" applyAlignment="1">
      <alignment horizontal="center"/>
    </xf>
    <xf numFmtId="0" fontId="22" fillId="0" borderId="32" xfId="0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9" fontId="15" fillId="0" borderId="43" xfId="2" applyFont="1" applyBorder="1" applyAlignment="1">
      <alignment horizontal="center"/>
    </xf>
    <xf numFmtId="44" fontId="13" fillId="0" borderId="21" xfId="1" applyFont="1" applyBorder="1"/>
    <xf numFmtId="10" fontId="13" fillId="0" borderId="21" xfId="0" applyNumberFormat="1" applyFont="1" applyBorder="1" applyAlignment="1">
      <alignment horizontal="center"/>
    </xf>
    <xf numFmtId="4" fontId="15" fillId="0" borderId="34" xfId="0" applyNumberFormat="1" applyFont="1" applyBorder="1"/>
    <xf numFmtId="4" fontId="13" fillId="0" borderId="45" xfId="0" applyNumberFormat="1" applyFont="1" applyBorder="1"/>
    <xf numFmtId="4" fontId="18" fillId="2" borderId="1" xfId="4" applyNumberFormat="1" applyFont="1" applyFill="1" applyBorder="1" applyAlignment="1" applyProtection="1">
      <alignment horizontal="center" vertical="center"/>
    </xf>
    <xf numFmtId="4" fontId="18" fillId="0" borderId="23" xfId="0" applyNumberFormat="1" applyFont="1" applyBorder="1" applyAlignment="1">
      <alignment horizontal="center" vertical="center"/>
    </xf>
    <xf numFmtId="165" fontId="18" fillId="0" borderId="26" xfId="4" applyNumberFormat="1" applyFont="1" applyFill="1" applyBorder="1" applyAlignment="1" applyProtection="1">
      <alignment horizontal="center" vertical="center"/>
    </xf>
    <xf numFmtId="168" fontId="13" fillId="0" borderId="10" xfId="0" applyNumberFormat="1" applyFont="1" applyBorder="1"/>
    <xf numFmtId="168" fontId="13" fillId="0" borderId="12" xfId="0" applyNumberFormat="1" applyFont="1" applyBorder="1"/>
    <xf numFmtId="164" fontId="13" fillId="0" borderId="0" xfId="1" applyNumberFormat="1" applyFont="1" applyBorder="1"/>
    <xf numFmtId="10" fontId="13" fillId="0" borderId="0" xfId="0" applyNumberFormat="1" applyFont="1" applyAlignment="1">
      <alignment horizontal="center"/>
    </xf>
    <xf numFmtId="0" fontId="13" fillId="0" borderId="0" xfId="1" applyNumberFormat="1" applyFont="1" applyBorder="1"/>
    <xf numFmtId="164" fontId="4" fillId="11" borderId="1" xfId="0" applyNumberFormat="1" applyFont="1" applyFill="1" applyBorder="1"/>
    <xf numFmtId="164" fontId="25" fillId="5" borderId="1" xfId="1" applyNumberFormat="1" applyFont="1" applyFill="1" applyBorder="1"/>
    <xf numFmtId="0" fontId="15" fillId="5" borderId="47" xfId="0" applyFont="1" applyFill="1" applyBorder="1"/>
    <xf numFmtId="0" fontId="13" fillId="0" borderId="30" xfId="0" applyFont="1" applyBorder="1" applyAlignment="1">
      <alignment horizontal="center"/>
    </xf>
    <xf numFmtId="166" fontId="15" fillId="0" borderId="4" xfId="1" applyNumberFormat="1" applyFont="1" applyBorder="1"/>
    <xf numFmtId="166" fontId="13" fillId="0" borderId="48" xfId="1" applyNumberFormat="1" applyFont="1" applyBorder="1"/>
    <xf numFmtId="0" fontId="20" fillId="0" borderId="44" xfId="0" applyFont="1" applyBorder="1" applyAlignment="1">
      <alignment horizontal="center" vertical="center"/>
    </xf>
    <xf numFmtId="44" fontId="22" fillId="0" borderId="34" xfId="1" applyFont="1" applyFill="1" applyBorder="1" applyAlignment="1">
      <alignment vertical="center"/>
    </xf>
    <xf numFmtId="44" fontId="20" fillId="0" borderId="45" xfId="1" applyFont="1" applyFill="1" applyBorder="1" applyAlignment="1">
      <alignment vertical="center"/>
    </xf>
    <xf numFmtId="0" fontId="28" fillId="2" borderId="1" xfId="0" applyFont="1" applyFill="1" applyBorder="1" applyAlignment="1">
      <alignment horizontal="center" wrapText="1"/>
    </xf>
    <xf numFmtId="0" fontId="28" fillId="2" borderId="1" xfId="0" applyFont="1" applyFill="1" applyBorder="1"/>
    <xf numFmtId="0" fontId="0" fillId="2" borderId="0" xfId="0" applyFill="1"/>
    <xf numFmtId="0" fontId="28" fillId="2" borderId="0" xfId="0" applyFont="1" applyFill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30" fillId="0" borderId="1" xfId="0" applyFont="1" applyBorder="1" applyAlignment="1">
      <alignment vertical="center" wrapText="1"/>
    </xf>
    <xf numFmtId="0" fontId="30" fillId="13" borderId="1" xfId="0" applyFont="1" applyFill="1" applyBorder="1" applyAlignment="1">
      <alignment horizontal="center" vertical="center" wrapText="1"/>
    </xf>
    <xf numFmtId="0" fontId="30" fillId="13" borderId="1" xfId="0" applyFont="1" applyFill="1" applyBorder="1" applyAlignment="1">
      <alignment vertical="center" wrapText="1"/>
    </xf>
    <xf numFmtId="4" fontId="15" fillId="0" borderId="1" xfId="0" applyNumberFormat="1" applyFont="1" applyBorder="1"/>
    <xf numFmtId="44" fontId="15" fillId="5" borderId="1" xfId="1" applyFont="1" applyFill="1" applyBorder="1"/>
    <xf numFmtId="4" fontId="13" fillId="0" borderId="21" xfId="0" applyNumberFormat="1" applyFont="1" applyBorder="1"/>
    <xf numFmtId="164" fontId="26" fillId="0" borderId="21" xfId="1" applyNumberFormat="1" applyFont="1" applyFill="1" applyBorder="1"/>
    <xf numFmtId="0" fontId="29" fillId="0" borderId="1" xfId="0" applyFont="1" applyBorder="1" applyAlignment="1">
      <alignment horizontal="center" vertical="center" wrapText="1"/>
    </xf>
    <xf numFmtId="14" fontId="19" fillId="0" borderId="0" xfId="0" applyNumberFormat="1" applyFont="1"/>
    <xf numFmtId="14" fontId="31" fillId="2" borderId="1" xfId="0" applyNumberFormat="1" applyFont="1" applyFill="1" applyBorder="1" applyAlignment="1" applyProtection="1">
      <alignment horizontal="center" vertical="center"/>
      <protection locked="0"/>
    </xf>
    <xf numFmtId="44" fontId="15" fillId="0" borderId="0" xfId="1" applyFont="1"/>
    <xf numFmtId="14" fontId="18" fillId="0" borderId="0" xfId="0" applyNumberFormat="1" applyFont="1" applyAlignment="1">
      <alignment vertical="center" wrapText="1"/>
    </xf>
    <xf numFmtId="4" fontId="13" fillId="0" borderId="0" xfId="0" applyNumberFormat="1" applyFont="1"/>
    <xf numFmtId="0" fontId="20" fillId="0" borderId="0" xfId="0" applyFont="1" applyAlignment="1">
      <alignment horizontal="center" vertical="center"/>
    </xf>
    <xf numFmtId="14" fontId="13" fillId="0" borderId="0" xfId="0" applyNumberFormat="1" applyFont="1" applyAlignment="1">
      <alignment horizontal="center"/>
    </xf>
    <xf numFmtId="4" fontId="13" fillId="0" borderId="1" xfId="0" applyNumberFormat="1" applyFont="1" applyBorder="1" applyAlignment="1">
      <alignment horizontal="center" vertical="center"/>
    </xf>
    <xf numFmtId="4" fontId="15" fillId="0" borderId="0" xfId="0" applyNumberFormat="1" applyFont="1" applyAlignment="1">
      <alignment horizontal="center"/>
    </xf>
    <xf numFmtId="4" fontId="13" fillId="0" borderId="34" xfId="0" applyNumberFormat="1" applyFont="1" applyBorder="1" applyAlignment="1">
      <alignment horizontal="center" vertical="center"/>
    </xf>
    <xf numFmtId="14" fontId="13" fillId="0" borderId="43" xfId="0" applyNumberFormat="1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/>
    </xf>
    <xf numFmtId="4" fontId="13" fillId="0" borderId="45" xfId="0" applyNumberFormat="1" applyFont="1" applyBorder="1" applyAlignment="1">
      <alignment horizontal="center" vertical="center"/>
    </xf>
    <xf numFmtId="14" fontId="13" fillId="0" borderId="42" xfId="0" applyNumberFormat="1" applyFont="1" applyBorder="1" applyAlignment="1">
      <alignment horizontal="center" vertical="center"/>
    </xf>
    <xf numFmtId="14" fontId="13" fillId="0" borderId="29" xfId="0" applyNumberFormat="1" applyFont="1" applyBorder="1" applyAlignment="1">
      <alignment horizontal="center" vertical="center" wrapText="1"/>
    </xf>
    <xf numFmtId="10" fontId="13" fillId="0" borderId="5" xfId="0" applyNumberFormat="1" applyFont="1" applyBorder="1" applyAlignment="1">
      <alignment horizontal="center" vertical="center"/>
    </xf>
    <xf numFmtId="14" fontId="13" fillId="0" borderId="44" xfId="0" applyNumberFormat="1" applyFont="1" applyBorder="1" applyAlignment="1">
      <alignment horizontal="center" vertical="center" wrapText="1"/>
    </xf>
    <xf numFmtId="14" fontId="13" fillId="0" borderId="34" xfId="0" applyNumberFormat="1" applyFont="1" applyBorder="1" applyAlignment="1">
      <alignment horizontal="center" vertical="center"/>
    </xf>
    <xf numFmtId="14" fontId="20" fillId="0" borderId="46" xfId="0" applyNumberFormat="1" applyFont="1" applyBorder="1" applyAlignment="1">
      <alignment horizontal="center" vertical="center"/>
    </xf>
    <xf numFmtId="4" fontId="20" fillId="0" borderId="42" xfId="0" applyNumberFormat="1" applyFont="1" applyBorder="1" applyAlignment="1">
      <alignment horizontal="center" vertical="center"/>
    </xf>
    <xf numFmtId="14" fontId="13" fillId="0" borderId="44" xfId="0" applyNumberFormat="1" applyFont="1" applyBorder="1" applyAlignment="1">
      <alignment horizontal="center" vertical="center"/>
    </xf>
    <xf numFmtId="14" fontId="20" fillId="0" borderId="32" xfId="0" applyNumberFormat="1" applyFont="1" applyBorder="1" applyAlignment="1">
      <alignment horizontal="center" vertical="center"/>
    </xf>
    <xf numFmtId="0" fontId="13" fillId="0" borderId="44" xfId="0" applyFont="1" applyBorder="1" applyAlignment="1">
      <alignment horizontal="center"/>
    </xf>
    <xf numFmtId="44" fontId="31" fillId="0" borderId="1" xfId="1" applyFont="1" applyFill="1" applyBorder="1" applyAlignment="1" applyProtection="1">
      <alignment horizontal="right" vertical="center"/>
      <protection locked="0"/>
    </xf>
    <xf numFmtId="44" fontId="16" fillId="0" borderId="1" xfId="1" applyFont="1" applyFill="1" applyBorder="1" applyAlignment="1" applyProtection="1">
      <alignment horizontal="right" vertical="center"/>
      <protection locked="0"/>
    </xf>
    <xf numFmtId="10" fontId="0" fillId="0" borderId="0" xfId="0" applyNumberFormat="1"/>
    <xf numFmtId="44" fontId="16" fillId="2" borderId="34" xfId="1" applyFont="1" applyFill="1" applyBorder="1" applyAlignment="1" applyProtection="1">
      <alignment horizontal="right" vertical="center"/>
      <protection locked="0"/>
    </xf>
    <xf numFmtId="14" fontId="20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4" fontId="13" fillId="0" borderId="32" xfId="0" applyNumberFormat="1" applyFont="1" applyBorder="1" applyAlignment="1">
      <alignment horizontal="center" vertical="center"/>
    </xf>
    <xf numFmtId="4" fontId="13" fillId="0" borderId="46" xfId="0" applyNumberFormat="1" applyFont="1" applyBorder="1" applyAlignment="1">
      <alignment horizontal="center" vertical="center"/>
    </xf>
    <xf numFmtId="4" fontId="13" fillId="0" borderId="21" xfId="0" applyNumberFormat="1" applyFont="1" applyBorder="1" applyAlignment="1">
      <alignment horizontal="center" vertical="center"/>
    </xf>
    <xf numFmtId="10" fontId="13" fillId="0" borderId="37" xfId="0" applyNumberFormat="1" applyFont="1" applyBorder="1" applyAlignment="1">
      <alignment horizontal="center" vertical="center"/>
    </xf>
    <xf numFmtId="14" fontId="13" fillId="0" borderId="45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3" fillId="4" borderId="0" xfId="0" applyFont="1" applyFill="1"/>
    <xf numFmtId="4" fontId="15" fillId="5" borderId="46" xfId="0" applyNumberFormat="1" applyFont="1" applyFill="1" applyBorder="1"/>
    <xf numFmtId="168" fontId="30" fillId="13" borderId="1" xfId="3" applyNumberFormat="1" applyFont="1" applyFill="1" applyBorder="1" applyAlignment="1">
      <alignment horizontal="right" vertical="center" wrapText="1"/>
    </xf>
    <xf numFmtId="0" fontId="30" fillId="12" borderId="1" xfId="0" applyFont="1" applyFill="1" applyBorder="1" applyAlignment="1">
      <alignment horizontal="center" vertical="center" wrapText="1"/>
    </xf>
    <xf numFmtId="168" fontId="29" fillId="0" borderId="1" xfId="0" applyNumberFormat="1" applyFont="1" applyBorder="1" applyAlignment="1">
      <alignment horizontal="right" vertical="center" wrapText="1"/>
    </xf>
    <xf numFmtId="168" fontId="29" fillId="5" borderId="1" xfId="0" applyNumberFormat="1" applyFont="1" applyFill="1" applyBorder="1" applyAlignment="1">
      <alignment horizontal="right" vertical="center" wrapText="1"/>
    </xf>
    <xf numFmtId="168" fontId="30" fillId="0" borderId="1" xfId="0" applyNumberFormat="1" applyFont="1" applyBorder="1" applyAlignment="1">
      <alignment horizontal="right" vertical="center" wrapText="1"/>
    </xf>
    <xf numFmtId="168" fontId="30" fillId="3" borderId="1" xfId="0" applyNumberFormat="1" applyFont="1" applyFill="1" applyBorder="1" applyAlignment="1">
      <alignment horizontal="right" vertical="center" wrapText="1"/>
    </xf>
    <xf numFmtId="0" fontId="24" fillId="9" borderId="0" xfId="0" applyFont="1" applyFill="1" applyAlignment="1">
      <alignment horizontal="center"/>
    </xf>
    <xf numFmtId="0" fontId="21" fillId="0" borderId="22" xfId="0" applyFont="1" applyBorder="1" applyAlignment="1">
      <alignment horizontal="left" vertical="center"/>
    </xf>
    <xf numFmtId="0" fontId="23" fillId="3" borderId="0" xfId="0" applyFont="1" applyFill="1" applyAlignment="1">
      <alignment horizontal="center"/>
    </xf>
    <xf numFmtId="0" fontId="13" fillId="0" borderId="1" xfId="0" applyFont="1" applyBorder="1" applyAlignment="1">
      <alignment horizontal="center"/>
    </xf>
    <xf numFmtId="0" fontId="20" fillId="0" borderId="42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12" fillId="2" borderId="42" xfId="0" applyFont="1" applyFill="1" applyBorder="1" applyAlignment="1">
      <alignment horizontal="center"/>
    </xf>
    <xf numFmtId="0" fontId="12" fillId="2" borderId="43" xfId="0" applyFont="1" applyFill="1" applyBorder="1" applyAlignment="1">
      <alignment horizontal="center"/>
    </xf>
    <xf numFmtId="0" fontId="12" fillId="2" borderId="44" xfId="0" applyFont="1" applyFill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3" fillId="0" borderId="37" xfId="0" applyFont="1" applyBorder="1" applyAlignment="1">
      <alignment horizontal="center"/>
    </xf>
    <xf numFmtId="0" fontId="15" fillId="0" borderId="38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168" fontId="30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14" fontId="13" fillId="0" borderId="20" xfId="0" applyNumberFormat="1" applyFont="1" applyBorder="1" applyAlignment="1">
      <alignment horizontal="center" vertical="center"/>
    </xf>
    <xf numFmtId="14" fontId="13" fillId="0" borderId="19" xfId="0" applyNumberFormat="1" applyFont="1" applyBorder="1" applyAlignment="1">
      <alignment horizontal="center" vertical="center"/>
    </xf>
    <xf numFmtId="14" fontId="13" fillId="0" borderId="18" xfId="0" applyNumberFormat="1" applyFont="1" applyBorder="1" applyAlignment="1">
      <alignment horizontal="center" vertical="center"/>
    </xf>
    <xf numFmtId="0" fontId="12" fillId="2" borderId="27" xfId="0" applyFont="1" applyFill="1" applyBorder="1" applyAlignment="1">
      <alignment horizontal="center"/>
    </xf>
    <xf numFmtId="0" fontId="12" fillId="2" borderId="28" xfId="0" applyFont="1" applyFill="1" applyBorder="1" applyAlignment="1">
      <alignment horizontal="center"/>
    </xf>
    <xf numFmtId="0" fontId="12" fillId="2" borderId="31" xfId="0" applyFont="1" applyFill="1" applyBorder="1" applyAlignment="1">
      <alignment horizont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2" fillId="2" borderId="29" xfId="0" applyFont="1" applyFill="1" applyBorder="1" applyAlignment="1">
      <alignment horizontal="center"/>
    </xf>
    <xf numFmtId="0" fontId="12" fillId="2" borderId="30" xfId="0" applyFont="1" applyFill="1" applyBorder="1" applyAlignment="1">
      <alignment horizontal="center"/>
    </xf>
    <xf numFmtId="0" fontId="5" fillId="2" borderId="0" xfId="0" applyFont="1" applyFill="1" applyAlignment="1">
      <alignment horizontal="left"/>
    </xf>
    <xf numFmtId="0" fontId="4" fillId="0" borderId="13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5" fillId="7" borderId="11" xfId="0" applyFont="1" applyFill="1" applyBorder="1" applyAlignment="1">
      <alignment horizontal="left" wrapText="1"/>
    </xf>
    <xf numFmtId="0" fontId="5" fillId="7" borderId="14" xfId="0" applyFont="1" applyFill="1" applyBorder="1" applyAlignment="1">
      <alignment horizontal="left" wrapText="1"/>
    </xf>
    <xf numFmtId="0" fontId="5" fillId="3" borderId="0" xfId="0" applyFont="1" applyFill="1" applyAlignment="1">
      <alignment horizontal="left" wrapText="1"/>
    </xf>
    <xf numFmtId="0" fontId="5" fillId="8" borderId="16" xfId="0" applyFont="1" applyFill="1" applyBorder="1" applyAlignment="1">
      <alignment horizontal="left"/>
    </xf>
    <xf numFmtId="0" fontId="5" fillId="8" borderId="17" xfId="0" applyFont="1" applyFill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5" fillId="7" borderId="13" xfId="0" applyFont="1" applyFill="1" applyBorder="1" applyAlignment="1">
      <alignment horizontal="left" wrapText="1"/>
    </xf>
    <xf numFmtId="0" fontId="5" fillId="7" borderId="0" xfId="0" applyFont="1" applyFill="1" applyAlignment="1">
      <alignment horizontal="left" wrapText="1"/>
    </xf>
    <xf numFmtId="0" fontId="5" fillId="0" borderId="1" xfId="0" applyFont="1" applyBorder="1" applyAlignment="1">
      <alignment horizontal="left"/>
    </xf>
    <xf numFmtId="0" fontId="5" fillId="9" borderId="2" xfId="0" applyFont="1" applyFill="1" applyBorder="1" applyAlignment="1">
      <alignment horizontal="left"/>
    </xf>
    <xf numFmtId="0" fontId="4" fillId="2" borderId="0" xfId="0" applyFont="1" applyFill="1" applyAlignment="1">
      <alignment horizontal="left" wrapText="1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2" borderId="8" xfId="0" applyFont="1" applyFill="1" applyBorder="1" applyAlignment="1">
      <alignment horizontal="center"/>
    </xf>
    <xf numFmtId="0" fontId="10" fillId="2" borderId="0" xfId="0" applyFont="1" applyFill="1" applyAlignment="1">
      <alignment horizontal="center" wrapText="1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28" fillId="2" borderId="1" xfId="0" applyFont="1" applyFill="1" applyBorder="1" applyAlignment="1">
      <alignment horizontal="center" wrapText="1"/>
    </xf>
    <xf numFmtId="0" fontId="28" fillId="2" borderId="1" xfId="0" applyFont="1" applyFill="1" applyBorder="1" applyAlignment="1">
      <alignment horizontal="center"/>
    </xf>
  </cellXfs>
  <cellStyles count="5">
    <cellStyle name="Moeda" xfId="1" builtinId="4"/>
    <cellStyle name="Moeda 2" xfId="4" xr:uid="{00000000-0005-0000-0000-000001000000}"/>
    <cellStyle name="Normal" xfId="0" builtinId="0"/>
    <cellStyle name="Porcentagem" xfId="2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N138"/>
  <sheetViews>
    <sheetView topLeftCell="A22" zoomScale="80" zoomScaleNormal="80" workbookViewId="0">
      <selection activeCell="K55" sqref="K55"/>
    </sheetView>
  </sheetViews>
  <sheetFormatPr defaultRowHeight="15"/>
  <cols>
    <col min="1" max="1" width="9.140625" style="68"/>
    <col min="2" max="2" width="25.42578125" style="68" customWidth="1"/>
    <col min="3" max="3" width="21.5703125" style="68" customWidth="1"/>
    <col min="4" max="4" width="18.85546875" style="68" bestFit="1" customWidth="1"/>
    <col min="5" max="5" width="16.42578125" style="68" bestFit="1" customWidth="1"/>
    <col min="6" max="6" width="20.140625" style="68" bestFit="1" customWidth="1"/>
    <col min="7" max="7" width="19.85546875" style="68" bestFit="1" customWidth="1"/>
    <col min="8" max="8" width="18.140625" style="68" bestFit="1" customWidth="1"/>
    <col min="9" max="9" width="21.85546875" style="68" customWidth="1"/>
    <col min="10" max="10" width="23.7109375" style="68" bestFit="1" customWidth="1"/>
    <col min="11" max="11" width="18.85546875" style="68" bestFit="1" customWidth="1"/>
    <col min="12" max="12" width="28.7109375" style="68" bestFit="1" customWidth="1"/>
    <col min="13" max="13" width="24.85546875" style="68" bestFit="1" customWidth="1"/>
    <col min="14" max="14" width="19" style="68" bestFit="1" customWidth="1"/>
    <col min="15" max="15" width="15.42578125" style="68" bestFit="1" customWidth="1"/>
    <col min="16" max="16" width="19.7109375" style="68" bestFit="1" customWidth="1"/>
    <col min="17" max="17" width="15.42578125" style="68" bestFit="1" customWidth="1"/>
    <col min="18" max="16384" width="9.140625" style="68"/>
  </cols>
  <sheetData>
    <row r="3" spans="2:14" ht="20.25">
      <c r="B3" s="208" t="s">
        <v>0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</row>
    <row r="5" spans="2:14" ht="18.75">
      <c r="B5" s="210" t="s">
        <v>1</v>
      </c>
      <c r="C5" s="210"/>
      <c r="D5" s="210"/>
      <c r="E5" s="210"/>
      <c r="F5" s="210"/>
      <c r="G5" s="210"/>
      <c r="H5" s="210"/>
      <c r="I5" s="210"/>
      <c r="J5" s="210"/>
      <c r="K5" s="210"/>
      <c r="L5" s="210"/>
    </row>
    <row r="6" spans="2:14">
      <c r="B6" s="200" t="s">
        <v>2</v>
      </c>
      <c r="C6" s="200"/>
      <c r="D6" s="200"/>
      <c r="E6" s="200"/>
      <c r="F6" s="200"/>
      <c r="G6" s="69"/>
      <c r="H6" s="69"/>
      <c r="I6" s="69"/>
      <c r="J6" s="69"/>
      <c r="K6" s="69"/>
      <c r="L6" s="69"/>
      <c r="N6" s="70"/>
    </row>
    <row r="7" spans="2:14">
      <c r="B7" s="200" t="s">
        <v>3</v>
      </c>
      <c r="C7" s="200"/>
      <c r="D7" s="200"/>
      <c r="E7" s="200"/>
      <c r="F7" s="200"/>
      <c r="G7" s="69"/>
      <c r="H7" s="69"/>
      <c r="I7" s="69"/>
      <c r="J7" s="69"/>
      <c r="K7" s="69"/>
      <c r="L7" s="69"/>
      <c r="N7" s="70"/>
    </row>
    <row r="8" spans="2:14">
      <c r="B8" s="200" t="s">
        <v>4</v>
      </c>
      <c r="C8" s="200"/>
      <c r="D8" s="200"/>
      <c r="E8" s="200"/>
      <c r="F8" s="200"/>
      <c r="G8" s="71"/>
      <c r="H8" s="69"/>
      <c r="I8" s="69"/>
      <c r="J8" s="69"/>
      <c r="K8" s="69"/>
      <c r="L8" s="69"/>
      <c r="N8" s="70"/>
    </row>
    <row r="9" spans="2:14">
      <c r="B9" s="200" t="s">
        <v>5</v>
      </c>
      <c r="C9" s="200"/>
      <c r="D9" s="200"/>
      <c r="E9" s="200"/>
      <c r="F9" s="200"/>
      <c r="G9" s="69"/>
      <c r="H9" s="69"/>
      <c r="I9" s="69"/>
      <c r="J9" s="69"/>
      <c r="K9" s="69"/>
      <c r="L9" s="69"/>
      <c r="N9" s="70"/>
    </row>
    <row r="10" spans="2:14">
      <c r="B10" s="72" t="s">
        <v>6</v>
      </c>
      <c r="C10" s="72" t="s">
        <v>7</v>
      </c>
      <c r="D10" s="72" t="s">
        <v>8</v>
      </c>
      <c r="E10" s="72" t="s">
        <v>9</v>
      </c>
      <c r="F10" s="73" t="s">
        <v>10</v>
      </c>
      <c r="G10" s="72" t="s">
        <v>11</v>
      </c>
      <c r="H10" s="72" t="s">
        <v>12</v>
      </c>
      <c r="I10" s="74" t="s">
        <v>13</v>
      </c>
      <c r="J10" s="75" t="s">
        <v>14</v>
      </c>
      <c r="K10" s="75" t="s">
        <v>15</v>
      </c>
      <c r="L10" s="74" t="s">
        <v>16</v>
      </c>
      <c r="N10" s="70"/>
    </row>
    <row r="11" spans="2:14">
      <c r="B11" s="76"/>
      <c r="C11" s="77"/>
      <c r="D11" s="78">
        <v>0</v>
      </c>
      <c r="E11" s="78">
        <v>0</v>
      </c>
      <c r="F11" s="79">
        <f>D11-E11</f>
        <v>0</v>
      </c>
      <c r="G11" s="80" t="str">
        <f>IF($G$10=C11,E11,"-")</f>
        <v>-</v>
      </c>
      <c r="H11" s="80" t="str">
        <f>IF($H$10=C11,D11,"-")</f>
        <v>-</v>
      </c>
      <c r="I11" s="79"/>
      <c r="J11" s="80" t="str">
        <f t="shared" ref="J11" si="0">IF("Tarifa"=C11,E11,"-")</f>
        <v>-</v>
      </c>
      <c r="K11" s="80" t="str">
        <f t="shared" ref="K11" si="1">IF("Tarifa"=C11,D11,"-")</f>
        <v>-</v>
      </c>
      <c r="L11" s="79"/>
      <c r="N11" s="70"/>
    </row>
    <row r="12" spans="2:14">
      <c r="B12" s="76"/>
      <c r="C12" s="77"/>
      <c r="D12" s="78">
        <v>0</v>
      </c>
      <c r="E12" s="78">
        <v>0</v>
      </c>
      <c r="F12" s="79">
        <f>F11+D12-E12</f>
        <v>0</v>
      </c>
      <c r="G12" s="80" t="str">
        <f t="shared" ref="G12:G14" si="2">IF($G$10=C12,E12,"-")</f>
        <v>-</v>
      </c>
      <c r="H12" s="80" t="str">
        <f t="shared" ref="H12:H14" si="3">IF($H$10=C12,D12,"-")</f>
        <v>-</v>
      </c>
      <c r="I12" s="79"/>
      <c r="J12" s="80" t="str">
        <f t="shared" ref="J12:J14" si="4">IF("Tarifa"=C12,E12,"-")</f>
        <v>-</v>
      </c>
      <c r="K12" s="80" t="str">
        <f t="shared" ref="K12:K14" si="5">IF("Tarifa"=C12,D12,"-")</f>
        <v>-</v>
      </c>
      <c r="L12" s="79"/>
      <c r="N12" s="81"/>
    </row>
    <row r="13" spans="2:14">
      <c r="B13" s="76"/>
      <c r="C13" s="77"/>
      <c r="D13" s="78">
        <v>0</v>
      </c>
      <c r="E13" s="78">
        <v>0</v>
      </c>
      <c r="F13" s="79">
        <f t="shared" ref="F13:F31" si="6">F12+D13-E13</f>
        <v>0</v>
      </c>
      <c r="G13" s="80" t="str">
        <f t="shared" si="2"/>
        <v>-</v>
      </c>
      <c r="H13" s="80" t="str">
        <f t="shared" si="3"/>
        <v>-</v>
      </c>
      <c r="I13" s="82"/>
      <c r="J13" s="80" t="str">
        <f t="shared" si="4"/>
        <v>-</v>
      </c>
      <c r="K13" s="80" t="str">
        <f t="shared" si="5"/>
        <v>-</v>
      </c>
      <c r="L13" s="79"/>
      <c r="N13" s="83"/>
    </row>
    <row r="14" spans="2:14">
      <c r="B14" s="76"/>
      <c r="C14" s="77"/>
      <c r="D14" s="78">
        <v>0</v>
      </c>
      <c r="E14" s="78">
        <v>0</v>
      </c>
      <c r="F14" s="79">
        <f t="shared" si="6"/>
        <v>0</v>
      </c>
      <c r="G14" s="80" t="str">
        <f t="shared" si="2"/>
        <v>-</v>
      </c>
      <c r="H14" s="80" t="str">
        <f t="shared" si="3"/>
        <v>-</v>
      </c>
      <c r="I14" s="82"/>
      <c r="J14" s="80" t="str">
        <f t="shared" si="4"/>
        <v>-</v>
      </c>
      <c r="K14" s="80" t="str">
        <f t="shared" si="5"/>
        <v>-</v>
      </c>
      <c r="L14" s="79"/>
      <c r="N14" s="83"/>
    </row>
    <row r="15" spans="2:14">
      <c r="B15" s="76"/>
      <c r="C15" s="77"/>
      <c r="D15" s="78">
        <v>0</v>
      </c>
      <c r="E15" s="78">
        <v>0</v>
      </c>
      <c r="F15" s="79">
        <f t="shared" si="6"/>
        <v>0</v>
      </c>
      <c r="G15" s="80" t="str">
        <f t="shared" ref="G15:G30" si="7">IF($G$10=C15,E15,"-")</f>
        <v>-</v>
      </c>
      <c r="H15" s="80" t="str">
        <f t="shared" ref="H15:H30" si="8">IF($H$10=C15,D15,"-")</f>
        <v>-</v>
      </c>
      <c r="I15" s="82"/>
      <c r="J15" s="80" t="str">
        <f t="shared" ref="J15:J30" si="9">IF("Tarifa"=C15,E15,"-")</f>
        <v>-</v>
      </c>
      <c r="K15" s="80" t="str">
        <f t="shared" ref="K15:K30" si="10">IF("Tarifa"=C15,D15,"-")</f>
        <v>-</v>
      </c>
      <c r="L15" s="79"/>
      <c r="N15" s="83"/>
    </row>
    <row r="16" spans="2:14">
      <c r="B16" s="76"/>
      <c r="C16" s="77"/>
      <c r="D16" s="78">
        <v>0</v>
      </c>
      <c r="E16" s="78">
        <v>0</v>
      </c>
      <c r="F16" s="79">
        <f t="shared" si="6"/>
        <v>0</v>
      </c>
      <c r="G16" s="80" t="str">
        <f t="shared" si="7"/>
        <v>-</v>
      </c>
      <c r="H16" s="80" t="str">
        <f t="shared" si="8"/>
        <v>-</v>
      </c>
      <c r="I16" s="82"/>
      <c r="J16" s="80" t="str">
        <f t="shared" si="9"/>
        <v>-</v>
      </c>
      <c r="K16" s="80" t="str">
        <f t="shared" si="10"/>
        <v>-</v>
      </c>
      <c r="L16" s="79"/>
      <c r="N16" s="83"/>
    </row>
    <row r="17" spans="2:14">
      <c r="B17" s="76"/>
      <c r="C17" s="77"/>
      <c r="D17" s="78">
        <v>0</v>
      </c>
      <c r="E17" s="78">
        <v>0</v>
      </c>
      <c r="F17" s="79">
        <f t="shared" si="6"/>
        <v>0</v>
      </c>
      <c r="G17" s="80" t="str">
        <f t="shared" si="7"/>
        <v>-</v>
      </c>
      <c r="H17" s="80" t="str">
        <f t="shared" si="8"/>
        <v>-</v>
      </c>
      <c r="I17" s="82"/>
      <c r="J17" s="80" t="str">
        <f t="shared" si="9"/>
        <v>-</v>
      </c>
      <c r="K17" s="80" t="str">
        <f t="shared" si="10"/>
        <v>-</v>
      </c>
      <c r="L17" s="79"/>
      <c r="N17" s="83"/>
    </row>
    <row r="18" spans="2:14">
      <c r="B18" s="76"/>
      <c r="C18" s="77"/>
      <c r="D18" s="78">
        <v>0</v>
      </c>
      <c r="E18" s="78">
        <v>0</v>
      </c>
      <c r="F18" s="79">
        <f t="shared" si="6"/>
        <v>0</v>
      </c>
      <c r="G18" s="80" t="str">
        <f t="shared" si="7"/>
        <v>-</v>
      </c>
      <c r="H18" s="80" t="str">
        <f t="shared" si="8"/>
        <v>-</v>
      </c>
      <c r="I18" s="82"/>
      <c r="J18" s="80" t="str">
        <f t="shared" si="9"/>
        <v>-</v>
      </c>
      <c r="K18" s="80" t="str">
        <f t="shared" si="10"/>
        <v>-</v>
      </c>
      <c r="L18" s="79"/>
      <c r="N18" s="83"/>
    </row>
    <row r="19" spans="2:14">
      <c r="B19" s="76"/>
      <c r="C19" s="77"/>
      <c r="D19" s="78">
        <v>0</v>
      </c>
      <c r="E19" s="78">
        <v>0</v>
      </c>
      <c r="F19" s="79">
        <f t="shared" si="6"/>
        <v>0</v>
      </c>
      <c r="G19" s="80" t="str">
        <f t="shared" si="7"/>
        <v>-</v>
      </c>
      <c r="H19" s="80" t="str">
        <f t="shared" si="8"/>
        <v>-</v>
      </c>
      <c r="I19" s="82"/>
      <c r="J19" s="80" t="str">
        <f t="shared" si="9"/>
        <v>-</v>
      </c>
      <c r="K19" s="80" t="str">
        <f t="shared" si="10"/>
        <v>-</v>
      </c>
      <c r="L19" s="79"/>
      <c r="N19" s="83"/>
    </row>
    <row r="20" spans="2:14">
      <c r="B20" s="76"/>
      <c r="C20" s="77"/>
      <c r="D20" s="78">
        <v>0</v>
      </c>
      <c r="E20" s="78">
        <v>0</v>
      </c>
      <c r="F20" s="79">
        <f t="shared" si="6"/>
        <v>0</v>
      </c>
      <c r="G20" s="80" t="str">
        <f t="shared" si="7"/>
        <v>-</v>
      </c>
      <c r="H20" s="80" t="str">
        <f t="shared" si="8"/>
        <v>-</v>
      </c>
      <c r="I20" s="82"/>
      <c r="J20" s="80" t="str">
        <f t="shared" si="9"/>
        <v>-</v>
      </c>
      <c r="K20" s="80" t="str">
        <f t="shared" si="10"/>
        <v>-</v>
      </c>
      <c r="L20" s="79"/>
      <c r="N20" s="83"/>
    </row>
    <row r="21" spans="2:14">
      <c r="B21" s="76"/>
      <c r="C21" s="77"/>
      <c r="D21" s="78">
        <v>0</v>
      </c>
      <c r="E21" s="78">
        <v>0</v>
      </c>
      <c r="F21" s="79">
        <f t="shared" si="6"/>
        <v>0</v>
      </c>
      <c r="G21" s="80" t="str">
        <f t="shared" si="7"/>
        <v>-</v>
      </c>
      <c r="H21" s="80" t="str">
        <f t="shared" si="8"/>
        <v>-</v>
      </c>
      <c r="I21" s="82"/>
      <c r="J21" s="80" t="str">
        <f t="shared" si="9"/>
        <v>-</v>
      </c>
      <c r="K21" s="80" t="str">
        <f t="shared" si="10"/>
        <v>-</v>
      </c>
      <c r="L21" s="79"/>
      <c r="N21" s="83"/>
    </row>
    <row r="22" spans="2:14">
      <c r="B22" s="76"/>
      <c r="C22" s="77"/>
      <c r="D22" s="78">
        <v>0</v>
      </c>
      <c r="E22" s="78">
        <v>0</v>
      </c>
      <c r="F22" s="79">
        <f t="shared" si="6"/>
        <v>0</v>
      </c>
      <c r="G22" s="80" t="str">
        <f t="shared" si="7"/>
        <v>-</v>
      </c>
      <c r="H22" s="80" t="str">
        <f t="shared" si="8"/>
        <v>-</v>
      </c>
      <c r="I22" s="82"/>
      <c r="J22" s="80" t="str">
        <f t="shared" si="9"/>
        <v>-</v>
      </c>
      <c r="K22" s="80" t="str">
        <f t="shared" si="10"/>
        <v>-</v>
      </c>
      <c r="L22" s="79"/>
      <c r="N22" s="83"/>
    </row>
    <row r="23" spans="2:14">
      <c r="B23" s="76"/>
      <c r="C23" s="77"/>
      <c r="D23" s="78">
        <v>0</v>
      </c>
      <c r="E23" s="78">
        <v>0</v>
      </c>
      <c r="F23" s="79">
        <f t="shared" si="6"/>
        <v>0</v>
      </c>
      <c r="G23" s="80" t="str">
        <f t="shared" si="7"/>
        <v>-</v>
      </c>
      <c r="H23" s="80" t="str">
        <f t="shared" si="8"/>
        <v>-</v>
      </c>
      <c r="I23" s="82"/>
      <c r="J23" s="80" t="str">
        <f t="shared" si="9"/>
        <v>-</v>
      </c>
      <c r="K23" s="80" t="str">
        <f t="shared" si="10"/>
        <v>-</v>
      </c>
      <c r="L23" s="79"/>
      <c r="N23" s="83"/>
    </row>
    <row r="24" spans="2:14">
      <c r="B24" s="76"/>
      <c r="C24" s="77"/>
      <c r="D24" s="78">
        <v>0</v>
      </c>
      <c r="E24" s="78">
        <v>0</v>
      </c>
      <c r="F24" s="79">
        <f t="shared" si="6"/>
        <v>0</v>
      </c>
      <c r="G24" s="80" t="str">
        <f t="shared" si="7"/>
        <v>-</v>
      </c>
      <c r="H24" s="80" t="str">
        <f t="shared" si="8"/>
        <v>-</v>
      </c>
      <c r="I24" s="82"/>
      <c r="J24" s="80" t="str">
        <f t="shared" si="9"/>
        <v>-</v>
      </c>
      <c r="K24" s="80" t="str">
        <f t="shared" si="10"/>
        <v>-</v>
      </c>
      <c r="L24" s="79"/>
      <c r="N24" s="83"/>
    </row>
    <row r="25" spans="2:14">
      <c r="B25" s="76"/>
      <c r="C25" s="77"/>
      <c r="D25" s="78">
        <v>0</v>
      </c>
      <c r="E25" s="78">
        <v>0</v>
      </c>
      <c r="F25" s="79">
        <f t="shared" si="6"/>
        <v>0</v>
      </c>
      <c r="G25" s="80" t="str">
        <f t="shared" si="7"/>
        <v>-</v>
      </c>
      <c r="H25" s="80" t="str">
        <f t="shared" si="8"/>
        <v>-</v>
      </c>
      <c r="I25" s="82"/>
      <c r="J25" s="80" t="str">
        <f t="shared" si="9"/>
        <v>-</v>
      </c>
      <c r="K25" s="80" t="str">
        <f t="shared" si="10"/>
        <v>-</v>
      </c>
      <c r="L25" s="79"/>
      <c r="N25" s="83"/>
    </row>
    <row r="26" spans="2:14">
      <c r="B26" s="76"/>
      <c r="C26" s="77"/>
      <c r="D26" s="78">
        <v>0</v>
      </c>
      <c r="E26" s="78">
        <v>0</v>
      </c>
      <c r="F26" s="79">
        <f t="shared" si="6"/>
        <v>0</v>
      </c>
      <c r="G26" s="80" t="str">
        <f t="shared" si="7"/>
        <v>-</v>
      </c>
      <c r="H26" s="80" t="str">
        <f t="shared" si="8"/>
        <v>-</v>
      </c>
      <c r="I26" s="82"/>
      <c r="J26" s="80" t="str">
        <f t="shared" si="9"/>
        <v>-</v>
      </c>
      <c r="K26" s="80" t="str">
        <f t="shared" si="10"/>
        <v>-</v>
      </c>
      <c r="L26" s="79"/>
      <c r="N26" s="83"/>
    </row>
    <row r="27" spans="2:14">
      <c r="B27" s="76"/>
      <c r="C27" s="77"/>
      <c r="D27" s="78">
        <v>0</v>
      </c>
      <c r="E27" s="78">
        <v>0</v>
      </c>
      <c r="F27" s="79">
        <f t="shared" si="6"/>
        <v>0</v>
      </c>
      <c r="G27" s="80" t="str">
        <f t="shared" si="7"/>
        <v>-</v>
      </c>
      <c r="H27" s="80" t="str">
        <f t="shared" si="8"/>
        <v>-</v>
      </c>
      <c r="I27" s="82"/>
      <c r="J27" s="80" t="str">
        <f t="shared" si="9"/>
        <v>-</v>
      </c>
      <c r="K27" s="80" t="str">
        <f t="shared" si="10"/>
        <v>-</v>
      </c>
      <c r="L27" s="79"/>
      <c r="N27" s="83"/>
    </row>
    <row r="28" spans="2:14">
      <c r="B28" s="76"/>
      <c r="C28" s="77"/>
      <c r="D28" s="78">
        <v>0</v>
      </c>
      <c r="E28" s="78">
        <v>0</v>
      </c>
      <c r="F28" s="79">
        <f t="shared" si="6"/>
        <v>0</v>
      </c>
      <c r="G28" s="80" t="str">
        <f t="shared" si="7"/>
        <v>-</v>
      </c>
      <c r="H28" s="80" t="str">
        <f t="shared" si="8"/>
        <v>-</v>
      </c>
      <c r="I28" s="82"/>
      <c r="J28" s="80" t="str">
        <f t="shared" si="9"/>
        <v>-</v>
      </c>
      <c r="K28" s="80" t="str">
        <f t="shared" si="10"/>
        <v>-</v>
      </c>
      <c r="L28" s="79"/>
      <c r="N28" s="83"/>
    </row>
    <row r="29" spans="2:14">
      <c r="B29" s="76"/>
      <c r="C29" s="77"/>
      <c r="D29" s="78">
        <v>0</v>
      </c>
      <c r="E29" s="78">
        <v>0</v>
      </c>
      <c r="F29" s="79">
        <f t="shared" si="6"/>
        <v>0</v>
      </c>
      <c r="G29" s="80" t="str">
        <f t="shared" si="7"/>
        <v>-</v>
      </c>
      <c r="H29" s="80" t="str">
        <f t="shared" si="8"/>
        <v>-</v>
      </c>
      <c r="I29" s="82"/>
      <c r="J29" s="80" t="str">
        <f t="shared" si="9"/>
        <v>-</v>
      </c>
      <c r="K29" s="80" t="str">
        <f t="shared" si="10"/>
        <v>-</v>
      </c>
      <c r="L29" s="79"/>
      <c r="N29" s="83"/>
    </row>
    <row r="30" spans="2:14">
      <c r="B30" s="76"/>
      <c r="C30" s="77"/>
      <c r="D30" s="78">
        <v>0</v>
      </c>
      <c r="E30" s="78">
        <v>0</v>
      </c>
      <c r="F30" s="79">
        <f t="shared" si="6"/>
        <v>0</v>
      </c>
      <c r="G30" s="80" t="str">
        <f t="shared" si="7"/>
        <v>-</v>
      </c>
      <c r="H30" s="80" t="str">
        <f t="shared" si="8"/>
        <v>-</v>
      </c>
      <c r="I30" s="82"/>
      <c r="J30" s="80" t="str">
        <f t="shared" si="9"/>
        <v>-</v>
      </c>
      <c r="K30" s="80" t="str">
        <f t="shared" si="10"/>
        <v>-</v>
      </c>
      <c r="L30" s="79"/>
      <c r="N30" s="83"/>
    </row>
    <row r="31" spans="2:14">
      <c r="B31" s="84" t="s">
        <v>17</v>
      </c>
      <c r="C31" s="72"/>
      <c r="D31" s="75">
        <f>SUM(D11:D30)</f>
        <v>0</v>
      </c>
      <c r="E31" s="75">
        <f>SUM(E11:E30)</f>
        <v>0</v>
      </c>
      <c r="F31" s="79">
        <f t="shared" si="6"/>
        <v>0</v>
      </c>
      <c r="G31" s="85">
        <f>SUM(G11:G30)</f>
        <v>0</v>
      </c>
      <c r="H31" s="85">
        <f>SUM(H11:H30)</f>
        <v>0</v>
      </c>
      <c r="I31" s="74">
        <f>H31-G31</f>
        <v>0</v>
      </c>
      <c r="J31" s="85">
        <f>SUM(J11:J30)</f>
        <v>0</v>
      </c>
      <c r="K31" s="85">
        <f>SUM(K11:K30)</f>
        <v>0</v>
      </c>
      <c r="L31" s="74">
        <f>J31-K31</f>
        <v>0</v>
      </c>
    </row>
    <row r="32" spans="2:14">
      <c r="D32" s="81"/>
      <c r="E32" s="81"/>
      <c r="F32" s="81"/>
    </row>
    <row r="33" spans="1:14">
      <c r="B33" s="86" t="s">
        <v>18</v>
      </c>
      <c r="D33" s="87"/>
      <c r="E33" s="81"/>
      <c r="F33" s="81"/>
    </row>
    <row r="34" spans="1:14">
      <c r="A34" s="88"/>
      <c r="B34" s="89" t="s">
        <v>19</v>
      </c>
      <c r="C34" s="89" t="s">
        <v>20</v>
      </c>
      <c r="D34" s="90" t="s">
        <v>21</v>
      </c>
      <c r="E34" s="89" t="s">
        <v>22</v>
      </c>
      <c r="F34" s="89" t="s">
        <v>23</v>
      </c>
      <c r="G34" s="89" t="s">
        <v>24</v>
      </c>
      <c r="H34" s="89" t="s">
        <v>25</v>
      </c>
      <c r="I34" s="89" t="s">
        <v>26</v>
      </c>
      <c r="J34" s="89" t="s">
        <v>27</v>
      </c>
      <c r="K34" s="89" t="s">
        <v>28</v>
      </c>
      <c r="L34" s="89" t="s">
        <v>29</v>
      </c>
      <c r="M34" s="89" t="s">
        <v>30</v>
      </c>
    </row>
    <row r="35" spans="1:14">
      <c r="B35" s="198"/>
      <c r="C35" s="199"/>
      <c r="D35" s="91"/>
      <c r="E35" s="92"/>
      <c r="F35" s="157"/>
      <c r="G35" s="157"/>
      <c r="H35" s="157"/>
      <c r="I35" s="157"/>
      <c r="J35" s="157">
        <f>F35-G35-H35-I35</f>
        <v>0</v>
      </c>
      <c r="K35" s="92"/>
      <c r="L35" s="91"/>
      <c r="M35" s="91"/>
    </row>
    <row r="36" spans="1:14">
      <c r="B36" s="198"/>
      <c r="C36" s="199"/>
      <c r="D36" s="91"/>
      <c r="E36" s="92"/>
      <c r="F36" s="157"/>
      <c r="G36" s="157"/>
      <c r="H36" s="157"/>
      <c r="I36" s="157"/>
      <c r="J36" s="157">
        <f t="shared" ref="J36:J41" si="11">F36-G36-H36-I36</f>
        <v>0</v>
      </c>
      <c r="K36" s="92"/>
      <c r="L36" s="91"/>
      <c r="M36" s="91"/>
    </row>
    <row r="37" spans="1:14">
      <c r="B37" s="198"/>
      <c r="C37" s="199"/>
      <c r="D37" s="91"/>
      <c r="E37" s="92"/>
      <c r="F37" s="157"/>
      <c r="G37" s="157"/>
      <c r="H37" s="157"/>
      <c r="I37" s="157"/>
      <c r="J37" s="157">
        <f t="shared" si="11"/>
        <v>0</v>
      </c>
      <c r="K37" s="92"/>
      <c r="L37" s="91"/>
      <c r="M37" s="91"/>
    </row>
    <row r="38" spans="1:14">
      <c r="B38" s="198"/>
      <c r="C38" s="199"/>
      <c r="D38" s="91"/>
      <c r="E38" s="92"/>
      <c r="F38" s="157"/>
      <c r="G38" s="157"/>
      <c r="H38" s="157"/>
      <c r="I38" s="157"/>
      <c r="J38" s="157">
        <f t="shared" si="11"/>
        <v>0</v>
      </c>
      <c r="K38" s="92"/>
      <c r="L38" s="91"/>
      <c r="M38" s="91"/>
    </row>
    <row r="39" spans="1:14">
      <c r="B39" s="198"/>
      <c r="C39" s="199"/>
      <c r="D39" s="91"/>
      <c r="E39" s="92"/>
      <c r="F39" s="157"/>
      <c r="G39" s="157"/>
      <c r="H39" s="157"/>
      <c r="I39" s="157"/>
      <c r="J39" s="157">
        <f t="shared" si="11"/>
        <v>0</v>
      </c>
      <c r="K39" s="92"/>
      <c r="L39" s="91"/>
      <c r="M39" s="91"/>
    </row>
    <row r="40" spans="1:14">
      <c r="B40" s="198"/>
      <c r="C40" s="199"/>
      <c r="D40" s="91"/>
      <c r="E40" s="92"/>
      <c r="F40" s="157"/>
      <c r="G40" s="157"/>
      <c r="H40" s="157"/>
      <c r="I40" s="157"/>
      <c r="J40" s="157">
        <f t="shared" si="11"/>
        <v>0</v>
      </c>
      <c r="K40" s="92"/>
      <c r="L40" s="91"/>
      <c r="M40" s="91"/>
    </row>
    <row r="41" spans="1:14">
      <c r="B41" s="198"/>
      <c r="C41" s="199"/>
      <c r="D41" s="91"/>
      <c r="E41" s="92"/>
      <c r="F41" s="157"/>
      <c r="G41" s="157"/>
      <c r="H41" s="157"/>
      <c r="I41" s="157"/>
      <c r="J41" s="157">
        <f t="shared" si="11"/>
        <v>0</v>
      </c>
      <c r="K41" s="92"/>
      <c r="L41" s="91"/>
      <c r="M41" s="91"/>
    </row>
    <row r="42" spans="1:14">
      <c r="B42" s="211" t="s">
        <v>17</v>
      </c>
      <c r="C42" s="211"/>
      <c r="D42" s="211"/>
      <c r="E42" s="211"/>
      <c r="F42" s="96">
        <f>SUM(F35:F41)</f>
        <v>0</v>
      </c>
      <c r="G42" s="96">
        <f>SUM(G35:G41)</f>
        <v>0</v>
      </c>
      <c r="H42" s="96">
        <f>SUM(H35:H41)</f>
        <v>0</v>
      </c>
      <c r="I42" s="96">
        <f>SUM(I35:I41)</f>
        <v>0</v>
      </c>
      <c r="J42" s="96">
        <f>F42-G42-H42-I42</f>
        <v>0</v>
      </c>
      <c r="K42" s="95"/>
      <c r="L42" s="94"/>
      <c r="M42" s="94"/>
    </row>
    <row r="43" spans="1:14" ht="15.75" thickBot="1">
      <c r="B43" s="93"/>
      <c r="C43" s="93"/>
      <c r="D43" s="87"/>
      <c r="E43" s="95"/>
      <c r="F43" s="97"/>
      <c r="G43" s="98"/>
      <c r="H43" s="97"/>
      <c r="I43" s="97"/>
      <c r="J43" s="95"/>
      <c r="K43" s="94"/>
      <c r="L43" s="94"/>
    </row>
    <row r="44" spans="1:14" ht="15.75" thickBot="1">
      <c r="C44" s="212" t="s">
        <v>31</v>
      </c>
      <c r="D44" s="213"/>
      <c r="E44" s="125" t="s">
        <v>32</v>
      </c>
      <c r="F44" s="122" t="s">
        <v>33</v>
      </c>
      <c r="G44" s="122" t="s">
        <v>34</v>
      </c>
      <c r="H44" s="141" t="s">
        <v>35</v>
      </c>
      <c r="I44" s="122" t="s">
        <v>36</v>
      </c>
      <c r="J44" s="144" t="s">
        <v>37</v>
      </c>
      <c r="K44" s="103"/>
      <c r="M44" s="209" t="s">
        <v>38</v>
      </c>
      <c r="N44" s="209"/>
    </row>
    <row r="45" spans="1:14" ht="15.75" customHeight="1">
      <c r="C45" s="123" t="s">
        <v>39</v>
      </c>
      <c r="D45" s="139"/>
      <c r="E45" s="100" t="e">
        <f>D45/D47</f>
        <v>#DIV/0!</v>
      </c>
      <c r="F45" s="158"/>
      <c r="G45" s="99" t="e">
        <f>G47*E45</f>
        <v>#DIV/0!</v>
      </c>
      <c r="H45" s="142" t="e">
        <f>F45-G45</f>
        <v>#DIV/0!</v>
      </c>
      <c r="I45" s="99" t="e">
        <f>I47*E45</f>
        <v>#DIV/0!</v>
      </c>
      <c r="J45" s="145" t="e">
        <f>F45+I45-G45</f>
        <v>#DIV/0!</v>
      </c>
      <c r="K45" s="101"/>
      <c r="L45" s="87"/>
    </row>
    <row r="46" spans="1:14">
      <c r="C46" s="123" t="s">
        <v>40</v>
      </c>
      <c r="D46" s="139"/>
      <c r="E46" s="100" t="e">
        <f>D46/D47</f>
        <v>#DIV/0!</v>
      </c>
      <c r="F46" s="158"/>
      <c r="G46" s="99" t="e">
        <f>G47*E46</f>
        <v>#DIV/0!</v>
      </c>
      <c r="H46" s="142" t="e">
        <f>F46-G46</f>
        <v>#DIV/0!</v>
      </c>
      <c r="I46" s="99" t="e">
        <f>I47*E46</f>
        <v>#DIV/0!</v>
      </c>
      <c r="J46" s="145" t="e">
        <f>F46+I46-G46</f>
        <v>#DIV/0!</v>
      </c>
      <c r="K46" s="102"/>
    </row>
    <row r="47" spans="1:14" ht="15.75" thickBot="1">
      <c r="A47" s="86"/>
      <c r="B47" s="86"/>
      <c r="C47" s="124" t="s">
        <v>17</v>
      </c>
      <c r="D47" s="160">
        <f>SUM(D45:D46)</f>
        <v>0</v>
      </c>
      <c r="E47" s="127" t="e">
        <f>SUM(E45:E46)</f>
        <v>#DIV/0!</v>
      </c>
      <c r="F47" s="126">
        <f>SUM(F45:F46)</f>
        <v>0</v>
      </c>
      <c r="G47" s="126">
        <f>F42</f>
        <v>0</v>
      </c>
      <c r="H47" s="143" t="e">
        <f>SUM(H45:H46)</f>
        <v>#DIV/0!</v>
      </c>
      <c r="I47" s="126">
        <f>I31</f>
        <v>0</v>
      </c>
      <c r="J47" s="146" t="e">
        <f>SUM(J45:J46)</f>
        <v>#DIV/0!</v>
      </c>
      <c r="K47" s="104"/>
      <c r="L47" s="86"/>
    </row>
    <row r="48" spans="1:14">
      <c r="A48" s="86"/>
      <c r="B48" s="86"/>
      <c r="C48" s="103"/>
      <c r="D48" s="135"/>
      <c r="E48" s="136"/>
      <c r="F48" s="104"/>
      <c r="G48" s="104"/>
      <c r="H48" s="137"/>
      <c r="I48" s="86"/>
      <c r="J48" s="103"/>
      <c r="K48" s="104"/>
      <c r="L48" s="86"/>
    </row>
    <row r="49" spans="2:14" ht="15.75" thickBot="1">
      <c r="B49" s="105"/>
      <c r="C49" s="88"/>
      <c r="D49" s="88"/>
      <c r="J49" s="162"/>
      <c r="K49" s="162"/>
      <c r="N49" s="162"/>
    </row>
    <row r="50" spans="2:14">
      <c r="B50" s="121" t="s">
        <v>41</v>
      </c>
      <c r="C50" s="122" t="s">
        <v>37</v>
      </c>
      <c r="D50" s="122" t="s">
        <v>42</v>
      </c>
      <c r="E50" s="122" t="s">
        <v>43</v>
      </c>
      <c r="F50" s="122" t="s">
        <v>44</v>
      </c>
      <c r="G50" s="122" t="s">
        <v>45</v>
      </c>
      <c r="H50" s="122" t="s">
        <v>46</v>
      </c>
      <c r="I50" s="184" t="s">
        <v>17</v>
      </c>
      <c r="J50" s="121" t="s">
        <v>47</v>
      </c>
      <c r="K50" s="184" t="s">
        <v>48</v>
      </c>
      <c r="L50" s="88"/>
      <c r="M50" s="88"/>
      <c r="N50" s="88"/>
    </row>
    <row r="51" spans="2:14" ht="15.75" thickBot="1">
      <c r="B51" s="123" t="s">
        <v>49</v>
      </c>
      <c r="C51" s="157" t="e">
        <f>J45</f>
        <v>#DIV/0!</v>
      </c>
      <c r="D51" s="157" t="e">
        <f>D53*E45</f>
        <v>#DIV/0!</v>
      </c>
      <c r="E51" s="157" t="e">
        <f>E53*E45</f>
        <v>#DIV/0!</v>
      </c>
      <c r="F51" s="157" t="e">
        <f>F53*E45</f>
        <v>#DIV/0!</v>
      </c>
      <c r="G51" s="157" t="e">
        <f>G53*E45</f>
        <v>#DIV/0!</v>
      </c>
      <c r="H51" s="157" t="e">
        <f>H53*E45</f>
        <v>#DIV/0!</v>
      </c>
      <c r="I51" s="128" t="e">
        <f>SUM(B51:H51)</f>
        <v>#DIV/0!</v>
      </c>
      <c r="J51" s="201"/>
      <c r="K51" s="129" t="e">
        <f>I51-J51</f>
        <v>#DIV/0!</v>
      </c>
      <c r="L51" s="166"/>
      <c r="M51" s="166"/>
      <c r="N51" s="166"/>
    </row>
    <row r="52" spans="2:14">
      <c r="B52" s="123" t="s">
        <v>50</v>
      </c>
      <c r="C52" s="157" t="e">
        <f>J46</f>
        <v>#DIV/0!</v>
      </c>
      <c r="D52" s="157" t="e">
        <f>D53*E46</f>
        <v>#DIV/0!</v>
      </c>
      <c r="E52" s="157" t="e">
        <f>E53*E46</f>
        <v>#DIV/0!</v>
      </c>
      <c r="F52" s="157" t="e">
        <f>F53*E46</f>
        <v>#DIV/0!</v>
      </c>
      <c r="G52" s="157" t="e">
        <f>G53*E46</f>
        <v>#DIV/0!</v>
      </c>
      <c r="H52" s="157" t="e">
        <f>H53*E46</f>
        <v>#DIV/0!</v>
      </c>
      <c r="I52" s="128" t="e">
        <f>SUM(B52:H52)</f>
        <v>#DIV/0!</v>
      </c>
      <c r="J52" s="97"/>
      <c r="K52" s="97"/>
      <c r="L52" s="97"/>
    </row>
    <row r="53" spans="2:14" ht="15.75" thickBot="1">
      <c r="B53" s="124" t="s">
        <v>17</v>
      </c>
      <c r="C53" s="159" t="e">
        <f>J47</f>
        <v>#DIV/0!</v>
      </c>
      <c r="D53" s="159">
        <f>L73</f>
        <v>0</v>
      </c>
      <c r="E53" s="159">
        <f>I94</f>
        <v>0</v>
      </c>
      <c r="F53" s="159">
        <f>F102</f>
        <v>0</v>
      </c>
      <c r="G53" s="159">
        <f>J102</f>
        <v>0</v>
      </c>
      <c r="H53" s="159">
        <f>D109</f>
        <v>0</v>
      </c>
      <c r="I53" s="129" t="e">
        <f>SUM(I51:I52)</f>
        <v>#DIV/0!</v>
      </c>
      <c r="J53" s="97"/>
      <c r="K53" s="97"/>
      <c r="L53" s="97"/>
      <c r="M53" s="164"/>
      <c r="N53" s="165"/>
    </row>
    <row r="54" spans="2:14" ht="15.75" thickBot="1">
      <c r="B54" s="103"/>
      <c r="C54" s="166"/>
      <c r="D54" s="166"/>
      <c r="E54" s="166"/>
      <c r="F54" s="166"/>
      <c r="G54" s="166"/>
      <c r="H54" s="166"/>
      <c r="I54" s="166"/>
      <c r="J54" s="97"/>
      <c r="K54" s="97"/>
      <c r="L54" s="97"/>
      <c r="M54" s="164"/>
      <c r="N54" s="165"/>
    </row>
    <row r="55" spans="2:14" ht="15.75" thickBot="1">
      <c r="B55" s="237" t="s">
        <v>51</v>
      </c>
      <c r="C55" s="238"/>
      <c r="D55" s="231" t="s">
        <v>52</v>
      </c>
      <c r="E55" s="232"/>
      <c r="F55" s="232"/>
      <c r="G55" s="232"/>
      <c r="H55" s="232"/>
      <c r="I55" s="233"/>
      <c r="J55" s="170"/>
      <c r="K55" s="97"/>
      <c r="L55" s="97"/>
      <c r="M55" s="164"/>
      <c r="N55" s="165"/>
    </row>
    <row r="56" spans="2:14" ht="57">
      <c r="B56" s="181" t="s">
        <v>6</v>
      </c>
      <c r="C56" s="182" t="s">
        <v>53</v>
      </c>
      <c r="D56" s="175" t="s">
        <v>54</v>
      </c>
      <c r="E56" s="178" t="s">
        <v>55</v>
      </c>
      <c r="F56" s="176" t="s">
        <v>56</v>
      </c>
      <c r="G56" s="172" t="s">
        <v>57</v>
      </c>
      <c r="H56" s="172" t="s">
        <v>58</v>
      </c>
      <c r="I56" s="173" t="s">
        <v>48</v>
      </c>
      <c r="J56" s="170"/>
      <c r="K56" s="97"/>
      <c r="L56" s="97"/>
      <c r="M56" s="164"/>
      <c r="N56" s="165"/>
    </row>
    <row r="57" spans="2:14">
      <c r="B57" s="183">
        <f>J49</f>
        <v>0</v>
      </c>
      <c r="C57" s="171" t="e">
        <f>K51</f>
        <v>#DIV/0!</v>
      </c>
      <c r="D57" s="193"/>
      <c r="E57" s="179"/>
      <c r="F57" s="177"/>
      <c r="G57" s="169" t="e">
        <f>C57*F57</f>
        <v>#DIV/0!</v>
      </c>
      <c r="H57" s="169" t="e">
        <f>C57+G57</f>
        <v>#DIV/0!</v>
      </c>
      <c r="I57" s="171" t="e">
        <f>H57-D57</f>
        <v>#DIV/0!</v>
      </c>
      <c r="J57" s="170"/>
      <c r="K57" s="97"/>
      <c r="L57" s="97"/>
      <c r="M57" s="164"/>
      <c r="N57" s="165"/>
    </row>
    <row r="58" spans="2:14">
      <c r="B58" s="183">
        <f>E57</f>
        <v>0</v>
      </c>
      <c r="C58" s="171" t="e">
        <f>I57</f>
        <v>#DIV/0!</v>
      </c>
      <c r="D58" s="193"/>
      <c r="E58" s="179"/>
      <c r="F58" s="177"/>
      <c r="G58" s="169" t="e">
        <f>C58*F58</f>
        <v>#DIV/0!</v>
      </c>
      <c r="H58" s="169" t="e">
        <f>C58+G58</f>
        <v>#DIV/0!</v>
      </c>
      <c r="I58" s="171" t="e">
        <f>H58-D58</f>
        <v>#DIV/0!</v>
      </c>
      <c r="J58" s="170"/>
      <c r="K58" s="97"/>
      <c r="L58" s="97"/>
      <c r="M58" s="164"/>
      <c r="N58" s="165"/>
    </row>
    <row r="59" spans="2:14">
      <c r="B59" s="183"/>
      <c r="C59" s="171"/>
      <c r="D59" s="193"/>
      <c r="E59" s="179"/>
      <c r="F59" s="177"/>
      <c r="G59" s="169">
        <f t="shared" ref="G59:G61" si="12">C59*F59</f>
        <v>0</v>
      </c>
      <c r="H59" s="169">
        <f t="shared" ref="H59:H61" si="13">C59+G59</f>
        <v>0</v>
      </c>
      <c r="I59" s="171">
        <f t="shared" ref="I59:I61" si="14">H59-D59</f>
        <v>0</v>
      </c>
      <c r="J59" s="170"/>
      <c r="K59" s="97"/>
      <c r="L59" s="97"/>
      <c r="M59" s="164"/>
      <c r="N59" s="165"/>
    </row>
    <row r="60" spans="2:14">
      <c r="B60" s="183"/>
      <c r="C60" s="171"/>
      <c r="D60" s="193"/>
      <c r="E60" s="179"/>
      <c r="F60" s="177"/>
      <c r="G60" s="169">
        <f t="shared" si="12"/>
        <v>0</v>
      </c>
      <c r="H60" s="169">
        <f t="shared" si="13"/>
        <v>0</v>
      </c>
      <c r="I60" s="171">
        <f t="shared" si="14"/>
        <v>0</v>
      </c>
      <c r="J60" s="170"/>
      <c r="K60" s="97"/>
      <c r="L60" s="97"/>
      <c r="M60" s="164"/>
      <c r="N60" s="165"/>
    </row>
    <row r="61" spans="2:14" ht="15.75" thickBot="1">
      <c r="B61" s="180"/>
      <c r="C61" s="174"/>
      <c r="D61" s="194"/>
      <c r="E61" s="197"/>
      <c r="F61" s="196"/>
      <c r="G61" s="195">
        <f t="shared" si="12"/>
        <v>0</v>
      </c>
      <c r="H61" s="195">
        <f t="shared" si="13"/>
        <v>0</v>
      </c>
      <c r="I61" s="174">
        <f t="shared" si="14"/>
        <v>0</v>
      </c>
      <c r="J61" s="170"/>
      <c r="K61" s="97"/>
      <c r="L61" s="97"/>
      <c r="M61" s="164"/>
      <c r="N61" s="165"/>
    </row>
    <row r="62" spans="2:14">
      <c r="B62" s="189"/>
      <c r="C62" s="190"/>
      <c r="D62" s="190"/>
      <c r="E62" s="191"/>
      <c r="F62" s="192"/>
      <c r="G62" s="190"/>
      <c r="H62" s="190"/>
      <c r="I62" s="190"/>
      <c r="J62" s="170"/>
      <c r="K62" s="97"/>
      <c r="L62" s="97"/>
      <c r="M62" s="164"/>
      <c r="N62" s="165"/>
    </row>
    <row r="63" spans="2:14" ht="15.75" thickBot="1">
      <c r="B63" s="167"/>
      <c r="C63" s="168"/>
      <c r="D63" s="168"/>
      <c r="E63" s="168"/>
      <c r="F63" s="168"/>
      <c r="G63" s="168"/>
      <c r="H63" s="168"/>
      <c r="I63" s="168"/>
      <c r="J63" s="170"/>
      <c r="K63" s="97"/>
      <c r="L63" s="97"/>
      <c r="M63" s="164"/>
      <c r="N63" s="165"/>
    </row>
    <row r="64" spans="2:14" ht="15.75">
      <c r="B64" s="234" t="s">
        <v>59</v>
      </c>
      <c r="C64" s="235"/>
      <c r="D64" s="235"/>
      <c r="E64" s="235"/>
      <c r="F64" s="235"/>
      <c r="G64" s="235"/>
      <c r="H64" s="235"/>
      <c r="I64" s="241"/>
      <c r="J64" s="242" t="s">
        <v>60</v>
      </c>
      <c r="K64" s="235"/>
      <c r="L64" s="236"/>
      <c r="M64" s="164"/>
      <c r="N64" s="165"/>
    </row>
    <row r="65" spans="2:12" ht="38.25">
      <c r="B65" s="57" t="s">
        <v>61</v>
      </c>
      <c r="C65" s="58" t="s">
        <v>62</v>
      </c>
      <c r="D65" s="58" t="s">
        <v>63</v>
      </c>
      <c r="E65" s="58" t="s">
        <v>64</v>
      </c>
      <c r="F65" s="58" t="s">
        <v>65</v>
      </c>
      <c r="G65" s="58" t="s">
        <v>66</v>
      </c>
      <c r="H65" s="59" t="s">
        <v>67</v>
      </c>
      <c r="I65" s="58" t="s">
        <v>68</v>
      </c>
      <c r="J65" s="60" t="s">
        <v>69</v>
      </c>
      <c r="K65" s="60" t="s">
        <v>70</v>
      </c>
      <c r="L65" s="61" t="s">
        <v>71</v>
      </c>
    </row>
    <row r="66" spans="2:12">
      <c r="B66" s="62"/>
      <c r="C66" s="163"/>
      <c r="D66" s="163"/>
      <c r="E66" s="185"/>
      <c r="F66" s="65" t="str">
        <f t="shared" ref="F66:F72" si="15">IF(C66=0,"",D66-C66)</f>
        <v/>
      </c>
      <c r="G66" s="65" t="str">
        <f t="shared" ref="G66:G72" si="16">IF(F66="","",IF(F66&lt;30,"CDI","POUP"))</f>
        <v/>
      </c>
      <c r="H66" s="187"/>
      <c r="I66" s="130">
        <f t="shared" ref="I66:I72" si="17">IF(C66=0,0,+E66*H66)</f>
        <v>0</v>
      </c>
      <c r="J66" s="66"/>
      <c r="K66" s="64">
        <f t="shared" ref="K66:K72" si="18">(+I66)*J66</f>
        <v>0</v>
      </c>
      <c r="L66" s="188">
        <f t="shared" ref="L66:L72" si="19">+I66+K66</f>
        <v>0</v>
      </c>
    </row>
    <row r="67" spans="2:12">
      <c r="B67" s="62"/>
      <c r="C67" s="163"/>
      <c r="D67" s="163"/>
      <c r="E67" s="185"/>
      <c r="F67" s="65" t="str">
        <f t="shared" si="15"/>
        <v/>
      </c>
      <c r="G67" s="65" t="str">
        <f t="shared" si="16"/>
        <v/>
      </c>
      <c r="H67" s="66"/>
      <c r="I67" s="130">
        <f t="shared" si="17"/>
        <v>0</v>
      </c>
      <c r="J67" s="66"/>
      <c r="K67" s="64">
        <f t="shared" si="18"/>
        <v>0</v>
      </c>
      <c r="L67" s="188">
        <f t="shared" si="19"/>
        <v>0</v>
      </c>
    </row>
    <row r="68" spans="2:12">
      <c r="B68" s="62"/>
      <c r="C68" s="163"/>
      <c r="D68" s="163"/>
      <c r="E68" s="185"/>
      <c r="F68" s="65" t="str">
        <f t="shared" si="15"/>
        <v/>
      </c>
      <c r="G68" s="65" t="str">
        <f t="shared" si="16"/>
        <v/>
      </c>
      <c r="H68" s="66"/>
      <c r="I68" s="130">
        <f t="shared" si="17"/>
        <v>0</v>
      </c>
      <c r="J68" s="66"/>
      <c r="K68" s="64">
        <f t="shared" si="18"/>
        <v>0</v>
      </c>
      <c r="L68" s="188">
        <f t="shared" si="19"/>
        <v>0</v>
      </c>
    </row>
    <row r="69" spans="2:12">
      <c r="B69" s="62"/>
      <c r="C69" s="163"/>
      <c r="D69" s="163"/>
      <c r="E69" s="185"/>
      <c r="F69" s="65" t="str">
        <f t="shared" si="15"/>
        <v/>
      </c>
      <c r="G69" s="65" t="str">
        <f t="shared" si="16"/>
        <v/>
      </c>
      <c r="H69" s="66"/>
      <c r="I69" s="130">
        <f t="shared" si="17"/>
        <v>0</v>
      </c>
      <c r="J69" s="66"/>
      <c r="K69" s="64">
        <f t="shared" si="18"/>
        <v>0</v>
      </c>
      <c r="L69" s="188">
        <f t="shared" si="19"/>
        <v>0</v>
      </c>
    </row>
    <row r="70" spans="2:12">
      <c r="B70" s="62"/>
      <c r="C70" s="163"/>
      <c r="D70" s="163"/>
      <c r="E70" s="185"/>
      <c r="F70" s="65" t="str">
        <f t="shared" si="15"/>
        <v/>
      </c>
      <c r="G70" s="65" t="str">
        <f t="shared" si="16"/>
        <v/>
      </c>
      <c r="H70" s="66"/>
      <c r="I70" s="130">
        <f t="shared" si="17"/>
        <v>0</v>
      </c>
      <c r="J70" s="66"/>
      <c r="K70" s="64">
        <f t="shared" si="18"/>
        <v>0</v>
      </c>
      <c r="L70" s="188">
        <f t="shared" si="19"/>
        <v>0</v>
      </c>
    </row>
    <row r="71" spans="2:12">
      <c r="B71" s="62"/>
      <c r="C71" s="63"/>
      <c r="D71" s="63"/>
      <c r="E71" s="186"/>
      <c r="F71" s="65" t="str">
        <f t="shared" si="15"/>
        <v/>
      </c>
      <c r="G71" s="65" t="str">
        <f t="shared" si="16"/>
        <v/>
      </c>
      <c r="H71" s="66"/>
      <c r="I71" s="130">
        <f t="shared" si="17"/>
        <v>0</v>
      </c>
      <c r="J71" s="66"/>
      <c r="K71" s="64">
        <f t="shared" si="18"/>
        <v>0</v>
      </c>
      <c r="L71" s="188">
        <f t="shared" si="19"/>
        <v>0</v>
      </c>
    </row>
    <row r="72" spans="2:12">
      <c r="B72" s="62"/>
      <c r="C72" s="63"/>
      <c r="D72" s="63"/>
      <c r="E72" s="186"/>
      <c r="F72" s="65" t="str">
        <f t="shared" si="15"/>
        <v/>
      </c>
      <c r="G72" s="65" t="str">
        <f t="shared" si="16"/>
        <v/>
      </c>
      <c r="H72" s="66"/>
      <c r="I72" s="130">
        <f t="shared" si="17"/>
        <v>0</v>
      </c>
      <c r="J72" s="66"/>
      <c r="K72" s="64">
        <f t="shared" si="18"/>
        <v>0</v>
      </c>
      <c r="L72" s="188">
        <f t="shared" si="19"/>
        <v>0</v>
      </c>
    </row>
    <row r="73" spans="2:12" ht="15.75" thickBot="1">
      <c r="B73" s="217" t="s">
        <v>72</v>
      </c>
      <c r="C73" s="218"/>
      <c r="D73" s="218"/>
      <c r="E73" s="218"/>
      <c r="F73" s="218"/>
      <c r="G73" s="218"/>
      <c r="H73" s="219"/>
      <c r="I73" s="131">
        <f>SUM(I66:I72)</f>
        <v>0</v>
      </c>
      <c r="J73" s="239" t="s">
        <v>17</v>
      </c>
      <c r="K73" s="240"/>
      <c r="L73" s="132">
        <f>SUM(L66:L72)</f>
        <v>0</v>
      </c>
    </row>
    <row r="74" spans="2:12">
      <c r="C74" s="93"/>
      <c r="D74" s="106"/>
    </row>
    <row r="75" spans="2:12" ht="15.75" thickBot="1">
      <c r="C75" s="93"/>
      <c r="D75" s="106"/>
    </row>
    <row r="76" spans="2:12" ht="15.75">
      <c r="B76" s="234" t="s">
        <v>73</v>
      </c>
      <c r="C76" s="235"/>
      <c r="D76" s="235"/>
      <c r="E76" s="235"/>
      <c r="F76" s="235"/>
      <c r="G76" s="235"/>
      <c r="H76" s="235"/>
      <c r="I76" s="236"/>
      <c r="J76" s="108"/>
    </row>
    <row r="77" spans="2:12" ht="38.25">
      <c r="B77" s="57" t="s">
        <v>61</v>
      </c>
      <c r="C77" s="58" t="s">
        <v>62</v>
      </c>
      <c r="D77" s="58" t="s">
        <v>74</v>
      </c>
      <c r="E77" s="58" t="s">
        <v>64</v>
      </c>
      <c r="F77" s="58" t="s">
        <v>65</v>
      </c>
      <c r="G77" s="58" t="s">
        <v>66</v>
      </c>
      <c r="H77" s="59" t="s">
        <v>67</v>
      </c>
      <c r="I77" s="112" t="s">
        <v>68</v>
      </c>
      <c r="J77" s="109"/>
    </row>
    <row r="78" spans="2:12">
      <c r="B78" s="220" t="s">
        <v>75</v>
      </c>
      <c r="C78" s="63"/>
      <c r="D78" s="63"/>
      <c r="E78" s="64"/>
      <c r="F78" s="65" t="str">
        <f t="shared" ref="F78:F93" si="20">IF(C78=0,"",D78-C78)</f>
        <v/>
      </c>
      <c r="G78" s="65" t="str">
        <f t="shared" ref="G78:G93" si="21">IF(F78="","",IF(F78&lt;30,"CDI","POUP"))</f>
        <v/>
      </c>
      <c r="H78" s="66"/>
      <c r="I78" s="113">
        <f t="shared" ref="I78:I93" si="22">IF(C78=0,0,+E78*H78)</f>
        <v>0</v>
      </c>
      <c r="J78" s="110"/>
    </row>
    <row r="79" spans="2:12">
      <c r="B79" s="221"/>
      <c r="C79" s="63"/>
      <c r="D79" s="63"/>
      <c r="E79" s="64"/>
      <c r="F79" s="65" t="str">
        <f t="shared" si="20"/>
        <v/>
      </c>
      <c r="G79" s="65" t="str">
        <f t="shared" si="21"/>
        <v/>
      </c>
      <c r="H79" s="66"/>
      <c r="I79" s="113">
        <f t="shared" si="22"/>
        <v>0</v>
      </c>
      <c r="J79" s="110"/>
    </row>
    <row r="80" spans="2:12">
      <c r="B80" s="221"/>
      <c r="C80" s="63"/>
      <c r="D80" s="63"/>
      <c r="E80" s="64"/>
      <c r="F80" s="65" t="str">
        <f t="shared" si="20"/>
        <v/>
      </c>
      <c r="G80" s="65" t="str">
        <f t="shared" si="21"/>
        <v/>
      </c>
      <c r="H80" s="66"/>
      <c r="I80" s="113">
        <f t="shared" si="22"/>
        <v>0</v>
      </c>
      <c r="J80" s="110"/>
    </row>
    <row r="81" spans="2:10">
      <c r="B81" s="221"/>
      <c r="C81" s="63"/>
      <c r="D81" s="63"/>
      <c r="E81" s="64"/>
      <c r="F81" s="65" t="str">
        <f t="shared" si="20"/>
        <v/>
      </c>
      <c r="G81" s="65" t="str">
        <f t="shared" si="21"/>
        <v/>
      </c>
      <c r="H81" s="66"/>
      <c r="I81" s="113">
        <f t="shared" si="22"/>
        <v>0</v>
      </c>
      <c r="J81" s="110"/>
    </row>
    <row r="82" spans="2:10">
      <c r="B82" s="221"/>
      <c r="C82" s="63"/>
      <c r="D82" s="63"/>
      <c r="E82" s="64"/>
      <c r="F82" s="65" t="str">
        <f t="shared" si="20"/>
        <v/>
      </c>
      <c r="G82" s="65" t="str">
        <f t="shared" si="21"/>
        <v/>
      </c>
      <c r="H82" s="66"/>
      <c r="I82" s="113">
        <f t="shared" si="22"/>
        <v>0</v>
      </c>
      <c r="J82" s="110"/>
    </row>
    <row r="83" spans="2:10">
      <c r="B83" s="221"/>
      <c r="C83" s="63"/>
      <c r="D83" s="63"/>
      <c r="E83" s="64"/>
      <c r="F83" s="65" t="str">
        <f t="shared" si="20"/>
        <v/>
      </c>
      <c r="G83" s="65" t="str">
        <f t="shared" si="21"/>
        <v/>
      </c>
      <c r="H83" s="66"/>
      <c r="I83" s="113">
        <f t="shared" si="22"/>
        <v>0</v>
      </c>
      <c r="J83" s="110"/>
    </row>
    <row r="84" spans="2:10">
      <c r="B84" s="221"/>
      <c r="C84" s="63"/>
      <c r="D84" s="63"/>
      <c r="E84" s="64"/>
      <c r="F84" s="65" t="str">
        <f t="shared" si="20"/>
        <v/>
      </c>
      <c r="G84" s="65" t="str">
        <f t="shared" si="21"/>
        <v/>
      </c>
      <c r="H84" s="66"/>
      <c r="I84" s="113">
        <f t="shared" si="22"/>
        <v>0</v>
      </c>
      <c r="J84" s="110"/>
    </row>
    <row r="85" spans="2:10">
      <c r="B85" s="221"/>
      <c r="C85" s="63"/>
      <c r="D85" s="63"/>
      <c r="E85" s="64"/>
      <c r="F85" s="65" t="str">
        <f t="shared" si="20"/>
        <v/>
      </c>
      <c r="G85" s="65" t="str">
        <f t="shared" si="21"/>
        <v/>
      </c>
      <c r="H85" s="66"/>
      <c r="I85" s="113">
        <f t="shared" si="22"/>
        <v>0</v>
      </c>
      <c r="J85" s="110"/>
    </row>
    <row r="86" spans="2:10">
      <c r="B86" s="221"/>
      <c r="C86" s="63"/>
      <c r="D86" s="63"/>
      <c r="E86" s="64"/>
      <c r="F86" s="65" t="str">
        <f t="shared" si="20"/>
        <v/>
      </c>
      <c r="G86" s="65" t="str">
        <f t="shared" si="21"/>
        <v/>
      </c>
      <c r="H86" s="66"/>
      <c r="I86" s="113">
        <f t="shared" si="22"/>
        <v>0</v>
      </c>
      <c r="J86" s="110"/>
    </row>
    <row r="87" spans="2:10">
      <c r="B87" s="221"/>
      <c r="C87" s="63"/>
      <c r="D87" s="63"/>
      <c r="E87" s="64"/>
      <c r="F87" s="65" t="str">
        <f t="shared" si="20"/>
        <v/>
      </c>
      <c r="G87" s="65" t="str">
        <f t="shared" si="21"/>
        <v/>
      </c>
      <c r="H87" s="66"/>
      <c r="I87" s="113">
        <f t="shared" si="22"/>
        <v>0</v>
      </c>
      <c r="J87" s="110"/>
    </row>
    <row r="88" spans="2:10">
      <c r="B88" s="221"/>
      <c r="C88" s="63"/>
      <c r="D88" s="63"/>
      <c r="E88" s="64"/>
      <c r="F88" s="65" t="str">
        <f t="shared" si="20"/>
        <v/>
      </c>
      <c r="G88" s="65" t="str">
        <f t="shared" si="21"/>
        <v/>
      </c>
      <c r="H88" s="66"/>
      <c r="I88" s="113">
        <f t="shared" si="22"/>
        <v>0</v>
      </c>
      <c r="J88" s="110"/>
    </row>
    <row r="89" spans="2:10">
      <c r="B89" s="221"/>
      <c r="C89" s="63"/>
      <c r="D89" s="63"/>
      <c r="E89" s="64"/>
      <c r="F89" s="65" t="str">
        <f t="shared" si="20"/>
        <v/>
      </c>
      <c r="G89" s="65" t="str">
        <f t="shared" si="21"/>
        <v/>
      </c>
      <c r="H89" s="66"/>
      <c r="I89" s="113">
        <f t="shared" si="22"/>
        <v>0</v>
      </c>
      <c r="J89" s="110"/>
    </row>
    <row r="90" spans="2:10">
      <c r="B90" s="221"/>
      <c r="C90" s="63"/>
      <c r="D90" s="63"/>
      <c r="E90" s="64"/>
      <c r="F90" s="65" t="str">
        <f t="shared" si="20"/>
        <v/>
      </c>
      <c r="G90" s="65" t="str">
        <f t="shared" si="21"/>
        <v/>
      </c>
      <c r="H90" s="66"/>
      <c r="I90" s="113">
        <f t="shared" si="22"/>
        <v>0</v>
      </c>
      <c r="J90" s="110"/>
    </row>
    <row r="91" spans="2:10">
      <c r="B91" s="221"/>
      <c r="C91" s="63"/>
      <c r="D91" s="63"/>
      <c r="E91" s="64"/>
      <c r="F91" s="65" t="str">
        <f t="shared" si="20"/>
        <v/>
      </c>
      <c r="G91" s="65" t="str">
        <f t="shared" si="21"/>
        <v/>
      </c>
      <c r="H91" s="66"/>
      <c r="I91" s="113">
        <f t="shared" si="22"/>
        <v>0</v>
      </c>
      <c r="J91" s="110"/>
    </row>
    <row r="92" spans="2:10">
      <c r="B92" s="221"/>
      <c r="C92" s="63"/>
      <c r="D92" s="63"/>
      <c r="E92" s="64"/>
      <c r="F92" s="65" t="str">
        <f t="shared" si="20"/>
        <v/>
      </c>
      <c r="G92" s="65" t="str">
        <f t="shared" si="21"/>
        <v/>
      </c>
      <c r="H92" s="66"/>
      <c r="I92" s="113">
        <f t="shared" si="22"/>
        <v>0</v>
      </c>
      <c r="J92" s="110"/>
    </row>
    <row r="93" spans="2:10">
      <c r="B93" s="222"/>
      <c r="C93" s="63"/>
      <c r="D93" s="63"/>
      <c r="E93" s="64"/>
      <c r="F93" s="65" t="str">
        <f t="shared" si="20"/>
        <v/>
      </c>
      <c r="G93" s="65" t="str">
        <f t="shared" si="21"/>
        <v/>
      </c>
      <c r="H93" s="66"/>
      <c r="I93" s="113">
        <f t="shared" si="22"/>
        <v>0</v>
      </c>
      <c r="J93" s="110"/>
    </row>
    <row r="94" spans="2:10" ht="15.75" thickBot="1">
      <c r="B94" s="217" t="s">
        <v>76</v>
      </c>
      <c r="C94" s="218"/>
      <c r="D94" s="218"/>
      <c r="E94" s="218"/>
      <c r="F94" s="219"/>
      <c r="G94" s="223" t="s">
        <v>77</v>
      </c>
      <c r="H94" s="223"/>
      <c r="I94" s="115">
        <f>SUM(I78:I93)</f>
        <v>0</v>
      </c>
      <c r="J94" s="111"/>
    </row>
    <row r="96" spans="2:10" ht="15.75" thickBot="1"/>
    <row r="97" spans="2:10" ht="15.75">
      <c r="B97" s="214" t="s">
        <v>44</v>
      </c>
      <c r="C97" s="215"/>
      <c r="D97" s="215"/>
      <c r="E97" s="215"/>
      <c r="F97" s="215"/>
      <c r="G97" s="215"/>
      <c r="H97" s="215"/>
      <c r="I97" s="215"/>
      <c r="J97" s="216"/>
    </row>
    <row r="98" spans="2:10" ht="38.25">
      <c r="B98" s="57" t="s">
        <v>61</v>
      </c>
      <c r="C98" s="107" t="s">
        <v>78</v>
      </c>
      <c r="D98" s="58" t="s">
        <v>79</v>
      </c>
      <c r="E98" s="58" t="s">
        <v>80</v>
      </c>
      <c r="F98" s="58" t="s">
        <v>64</v>
      </c>
      <c r="G98" s="58" t="s">
        <v>65</v>
      </c>
      <c r="H98" s="58" t="s">
        <v>66</v>
      </c>
      <c r="I98" s="59" t="s">
        <v>67</v>
      </c>
      <c r="J98" s="112" t="s">
        <v>68</v>
      </c>
    </row>
    <row r="99" spans="2:10">
      <c r="B99" s="116" t="s">
        <v>81</v>
      </c>
      <c r="C99" s="91"/>
      <c r="D99" s="92"/>
      <c r="E99" s="92"/>
      <c r="F99" s="99"/>
      <c r="G99" s="65" t="str">
        <f t="shared" ref="G99:G101" si="23">IF(D99=0,"",E99-D99)</f>
        <v/>
      </c>
      <c r="H99" s="65" t="str">
        <f t="shared" ref="H99:H101" si="24">IF(G99="","",IF(G99&lt;30,"CDI","POUP"))</f>
        <v/>
      </c>
      <c r="I99" s="66"/>
      <c r="J99" s="67">
        <f t="shared" ref="J99:J101" si="25">IF(D99=0,0,+F99*I99)</f>
        <v>0</v>
      </c>
    </row>
    <row r="100" spans="2:10">
      <c r="B100" s="116" t="s">
        <v>82</v>
      </c>
      <c r="C100" s="91"/>
      <c r="D100" s="92"/>
      <c r="E100" s="92"/>
      <c r="F100" s="99"/>
      <c r="G100" s="65" t="str">
        <f t="shared" si="23"/>
        <v/>
      </c>
      <c r="H100" s="65" t="str">
        <f t="shared" si="24"/>
        <v/>
      </c>
      <c r="I100" s="66"/>
      <c r="J100" s="67">
        <f t="shared" si="25"/>
        <v>0</v>
      </c>
    </row>
    <row r="101" spans="2:10">
      <c r="B101" s="116"/>
      <c r="C101" s="91"/>
      <c r="D101" s="92"/>
      <c r="E101" s="92"/>
      <c r="F101" s="99"/>
      <c r="G101" s="65" t="str">
        <f t="shared" si="23"/>
        <v/>
      </c>
      <c r="H101" s="65" t="str">
        <f t="shared" si="24"/>
        <v/>
      </c>
      <c r="I101" s="66"/>
      <c r="J101" s="67">
        <f t="shared" si="25"/>
        <v>0</v>
      </c>
    </row>
    <row r="102" spans="2:10" ht="15.75" thickBot="1">
      <c r="B102" s="217" t="s">
        <v>83</v>
      </c>
      <c r="C102" s="218"/>
      <c r="D102" s="218"/>
      <c r="E102" s="219"/>
      <c r="F102" s="114">
        <f>SUM(F99:F101)</f>
        <v>0</v>
      </c>
      <c r="G102" s="218" t="s">
        <v>77</v>
      </c>
      <c r="H102" s="218"/>
      <c r="I102" s="219"/>
      <c r="J102" s="117">
        <f>SUM(J99:J101)</f>
        <v>0</v>
      </c>
    </row>
    <row r="103" spans="2:10" ht="15.75" thickBot="1"/>
    <row r="104" spans="2:10" ht="15.75" thickBot="1">
      <c r="B104" s="226" t="s">
        <v>84</v>
      </c>
      <c r="C104" s="227"/>
      <c r="D104" s="228"/>
    </row>
    <row r="105" spans="2:10">
      <c r="B105" s="118" t="s">
        <v>85</v>
      </c>
      <c r="C105" s="68" t="s">
        <v>86</v>
      </c>
      <c r="D105" s="119"/>
    </row>
    <row r="106" spans="2:10" ht="15.75" thickBot="1">
      <c r="B106" s="118" t="s">
        <v>87</v>
      </c>
      <c r="C106" s="68" t="s">
        <v>88</v>
      </c>
      <c r="D106" s="120"/>
    </row>
    <row r="107" spans="2:10">
      <c r="B107" s="118"/>
      <c r="C107" s="86" t="s">
        <v>89</v>
      </c>
      <c r="D107" s="134">
        <f>SUM(D105:D106)</f>
        <v>0</v>
      </c>
    </row>
    <row r="108" spans="2:10" ht="15.75" thickBot="1">
      <c r="B108" s="118" t="s">
        <v>90</v>
      </c>
      <c r="C108" s="68" t="s">
        <v>91</v>
      </c>
      <c r="D108" s="120"/>
    </row>
    <row r="109" spans="2:10" ht="15.75" thickBot="1">
      <c r="B109" s="224" t="s">
        <v>92</v>
      </c>
      <c r="C109" s="225"/>
      <c r="D109" s="133">
        <f>D107-D108</f>
        <v>0</v>
      </c>
    </row>
    <row r="111" spans="2:10" ht="15.75" thickBot="1"/>
    <row r="112" spans="2:10" ht="15.75" thickBot="1">
      <c r="B112" s="140"/>
      <c r="C112" s="68" t="s">
        <v>93</v>
      </c>
    </row>
    <row r="115" spans="2:4" ht="16.5" customHeight="1">
      <c r="B115" s="203" t="s">
        <v>94</v>
      </c>
      <c r="C115" s="203"/>
      <c r="D115" s="203"/>
    </row>
    <row r="116" spans="2:4" ht="15.75">
      <c r="B116" s="151" t="s">
        <v>95</v>
      </c>
      <c r="C116" s="230" t="s">
        <v>53</v>
      </c>
      <c r="D116" s="230"/>
    </row>
    <row r="117" spans="2:4" ht="15.75">
      <c r="B117" s="152" t="s">
        <v>96</v>
      </c>
      <c r="C117" s="204">
        <f>F45</f>
        <v>0</v>
      </c>
      <c r="D117" s="204"/>
    </row>
    <row r="118" spans="2:4" ht="15.75">
      <c r="B118" s="152" t="s">
        <v>97</v>
      </c>
      <c r="C118" s="204">
        <f>F46</f>
        <v>0</v>
      </c>
      <c r="D118" s="204"/>
    </row>
    <row r="119" spans="2:4" ht="15.75">
      <c r="B119" s="152" t="s">
        <v>13</v>
      </c>
      <c r="C119" s="204">
        <f>I31</f>
        <v>0</v>
      </c>
      <c r="D119" s="204"/>
    </row>
    <row r="120" spans="2:4" ht="25.5">
      <c r="B120" s="153" t="s">
        <v>98</v>
      </c>
      <c r="C120" s="205">
        <v>0</v>
      </c>
      <c r="D120" s="205"/>
    </row>
    <row r="121" spans="2:4" ht="31.5">
      <c r="B121" s="152" t="s">
        <v>99</v>
      </c>
      <c r="C121" s="205">
        <v>0</v>
      </c>
      <c r="D121" s="205"/>
    </row>
    <row r="122" spans="2:4" ht="15.75">
      <c r="B122" s="154" t="s">
        <v>100</v>
      </c>
      <c r="C122" s="206">
        <f>SUM(C117:D121)</f>
        <v>0</v>
      </c>
      <c r="D122" s="206"/>
    </row>
    <row r="123" spans="2:4" ht="15.75">
      <c r="B123" s="151" t="s">
        <v>101</v>
      </c>
      <c r="C123" s="229" t="s">
        <v>53</v>
      </c>
      <c r="D123" s="229"/>
    </row>
    <row r="124" spans="2:4" ht="15.75">
      <c r="B124" s="161" t="s">
        <v>102</v>
      </c>
      <c r="C124" s="204">
        <v>0</v>
      </c>
      <c r="D124" s="204"/>
    </row>
    <row r="125" spans="2:4" ht="31.5">
      <c r="B125" s="152" t="s">
        <v>103</v>
      </c>
      <c r="C125" s="204">
        <f>G47</f>
        <v>0</v>
      </c>
      <c r="D125" s="204"/>
    </row>
    <row r="126" spans="2:4" ht="15.75">
      <c r="B126" s="154" t="s">
        <v>104</v>
      </c>
      <c r="C126" s="206">
        <f>SUM(C124:D125)</f>
        <v>0</v>
      </c>
      <c r="D126" s="206"/>
    </row>
    <row r="127" spans="2:4" ht="15.75">
      <c r="B127" s="155" t="s">
        <v>105</v>
      </c>
      <c r="C127" s="207">
        <f>C122-C126</f>
        <v>0</v>
      </c>
      <c r="D127" s="207"/>
    </row>
    <row r="128" spans="2:4" ht="31.5">
      <c r="B128" s="152" t="s">
        <v>106</v>
      </c>
      <c r="C128" s="204" t="e">
        <f>C127*E45</f>
        <v>#DIV/0!</v>
      </c>
      <c r="D128" s="204"/>
    </row>
    <row r="129" spans="2:4" ht="31.5">
      <c r="B129" s="152" t="s">
        <v>107</v>
      </c>
      <c r="C129" s="205">
        <f>E29</f>
        <v>0</v>
      </c>
      <c r="D129" s="205"/>
    </row>
    <row r="130" spans="2:4" ht="63" customHeight="1">
      <c r="B130" s="152" t="e">
        <f>IF(C130&gt;0,"(=)Cobrança ao Convenente","(=)Restituir ao Convenente")</f>
        <v>#DIV/0!</v>
      </c>
      <c r="C130" s="204" t="e">
        <f>C128-C129</f>
        <v>#DIV/0!</v>
      </c>
      <c r="D130" s="204"/>
    </row>
    <row r="131" spans="2:4" ht="31.5">
      <c r="B131" s="152" t="s">
        <v>108</v>
      </c>
      <c r="C131" s="204" t="e">
        <f>D51+G57+G58</f>
        <v>#DIV/0!</v>
      </c>
      <c r="D131" s="204"/>
    </row>
    <row r="132" spans="2:4" ht="31.5">
      <c r="B132" s="152" t="s">
        <v>109</v>
      </c>
      <c r="C132" s="204" t="e">
        <f>E51</f>
        <v>#DIV/0!</v>
      </c>
      <c r="D132" s="204"/>
    </row>
    <row r="133" spans="2:4" ht="31.5">
      <c r="B133" s="152" t="s">
        <v>110</v>
      </c>
      <c r="C133" s="204" t="e">
        <f>F51+G51</f>
        <v>#DIV/0!</v>
      </c>
      <c r="D133" s="204"/>
    </row>
    <row r="134" spans="2:4" ht="31.5">
      <c r="B134" s="152" t="s">
        <v>111</v>
      </c>
      <c r="C134" s="205">
        <v>0</v>
      </c>
      <c r="D134" s="205"/>
    </row>
    <row r="135" spans="2:4" ht="31.5">
      <c r="B135" s="152" t="s">
        <v>112</v>
      </c>
      <c r="C135" s="205">
        <v>0</v>
      </c>
      <c r="D135" s="205"/>
    </row>
    <row r="136" spans="2:4" ht="15.75">
      <c r="B136" s="152" t="s">
        <v>113</v>
      </c>
      <c r="C136" s="205">
        <v>0</v>
      </c>
      <c r="D136" s="205"/>
    </row>
    <row r="137" spans="2:4" ht="47.25">
      <c r="B137" s="152" t="s">
        <v>114</v>
      </c>
      <c r="C137" s="204">
        <f>IF(D46&gt;F46,(D46-F46)*E45,0)</f>
        <v>0</v>
      </c>
      <c r="D137" s="204"/>
    </row>
    <row r="138" spans="2:4" ht="15.75">
      <c r="B138" s="156" t="e">
        <f>IF(C138&gt;0,"(=)Cobrança ao Convenente","(=)Restituir ao Convenente")</f>
        <v>#DIV/0!</v>
      </c>
      <c r="C138" s="202" t="e">
        <f>C130+C131+C132+C133-C134-C135+C137</f>
        <v>#DIV/0!</v>
      </c>
      <c r="D138" s="202"/>
    </row>
  </sheetData>
  <autoFilter ref="B10:P31" xr:uid="{00000000-0009-0000-0000-000000000000}"/>
  <mergeCells count="44">
    <mergeCell ref="D55:I55"/>
    <mergeCell ref="B94:F94"/>
    <mergeCell ref="B76:I76"/>
    <mergeCell ref="B55:C55"/>
    <mergeCell ref="J73:K73"/>
    <mergeCell ref="B64:I64"/>
    <mergeCell ref="B73:H73"/>
    <mergeCell ref="J64:L64"/>
    <mergeCell ref="C136:D136"/>
    <mergeCell ref="B109:C109"/>
    <mergeCell ref="B104:D104"/>
    <mergeCell ref="C123:D123"/>
    <mergeCell ref="C125:D125"/>
    <mergeCell ref="C116:D116"/>
    <mergeCell ref="C117:D117"/>
    <mergeCell ref="C118:D118"/>
    <mergeCell ref="C119:D119"/>
    <mergeCell ref="C124:D124"/>
    <mergeCell ref="B97:J97"/>
    <mergeCell ref="B102:E102"/>
    <mergeCell ref="G102:I102"/>
    <mergeCell ref="B78:B93"/>
    <mergeCell ref="G94:H94"/>
    <mergeCell ref="B3:L3"/>
    <mergeCell ref="M44:N44"/>
    <mergeCell ref="B5:L5"/>
    <mergeCell ref="B42:E42"/>
    <mergeCell ref="C44:D44"/>
    <mergeCell ref="C138:D138"/>
    <mergeCell ref="B115:D115"/>
    <mergeCell ref="C130:D130"/>
    <mergeCell ref="C131:D131"/>
    <mergeCell ref="C132:D132"/>
    <mergeCell ref="C133:D133"/>
    <mergeCell ref="C134:D134"/>
    <mergeCell ref="C126:D126"/>
    <mergeCell ref="C127:D127"/>
    <mergeCell ref="C128:D128"/>
    <mergeCell ref="C129:D129"/>
    <mergeCell ref="C120:D120"/>
    <mergeCell ref="C121:D121"/>
    <mergeCell ref="C137:D137"/>
    <mergeCell ref="C135:D135"/>
    <mergeCell ref="C122:D122"/>
  </mergeCells>
  <pageMargins left="0.51181102362204722" right="0.51181102362204722" top="0.78740157480314965" bottom="0.78740157480314965" header="0.31496062992125984" footer="0.31496062992125984"/>
  <pageSetup paperSize="9" scale="56" fitToHeight="0" orientation="landscape" r:id="rId1"/>
  <headerFooter>
    <oddHeader>&amp;L&amp;G</oddHead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2"/>
  <sheetViews>
    <sheetView tabSelected="1" workbookViewId="0">
      <selection activeCell="O14" sqref="O14"/>
    </sheetView>
  </sheetViews>
  <sheetFormatPr defaultColWidth="9.140625" defaultRowHeight="12.75"/>
  <cols>
    <col min="1" max="1" width="2.5703125" style="2" customWidth="1"/>
    <col min="2" max="2" width="17" style="1" customWidth="1"/>
    <col min="3" max="3" width="19.140625" style="1" customWidth="1"/>
    <col min="4" max="4" width="13.7109375" style="1" customWidth="1"/>
    <col min="5" max="5" width="12.42578125" style="1" customWidth="1"/>
    <col min="6" max="6" width="11" style="1" customWidth="1"/>
    <col min="7" max="7" width="12.140625" style="1" customWidth="1"/>
    <col min="8" max="8" width="11" style="1" bestFit="1" customWidth="1"/>
    <col min="9" max="9" width="10.5703125" style="1" customWidth="1"/>
    <col min="10" max="10" width="11" style="1" bestFit="1" customWidth="1"/>
    <col min="11" max="11" width="11.28515625" style="1" bestFit="1" customWidth="1"/>
    <col min="12" max="12" width="11.42578125" style="1" customWidth="1"/>
    <col min="13" max="14" width="11.28515625" style="1" bestFit="1" customWidth="1"/>
    <col min="15" max="15" width="12" style="1" customWidth="1"/>
    <col min="16" max="16" width="11.28515625" style="1" bestFit="1" customWidth="1"/>
    <col min="17" max="18" width="9.140625" style="1"/>
    <col min="19" max="19" width="25" style="1" customWidth="1"/>
    <col min="20" max="20" width="11" style="1" bestFit="1" customWidth="1"/>
    <col min="21" max="16384" width="9.140625" style="1"/>
  </cols>
  <sheetData>
    <row r="1" spans="2:18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2:18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2:18" ht="18.75">
      <c r="B3" s="262" t="s">
        <v>115</v>
      </c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"/>
    </row>
    <row r="4" spans="2:18" ht="16.5" customHeight="1">
      <c r="B4" s="147" t="s">
        <v>116</v>
      </c>
      <c r="C4" s="265">
        <f>'CONCILIAÇÃO FINANCEIRA - GECOV'!C8:E8</f>
        <v>0</v>
      </c>
      <c r="D4" s="265"/>
      <c r="E4" s="150"/>
      <c r="F4" s="150"/>
      <c r="G4" s="150"/>
      <c r="H4" s="55"/>
      <c r="I4" s="55"/>
      <c r="J4" s="55"/>
      <c r="K4" s="55"/>
      <c r="L4" s="55"/>
      <c r="M4" s="55"/>
      <c r="N4" s="55"/>
      <c r="O4" s="55"/>
      <c r="P4" s="55"/>
      <c r="Q4" s="2"/>
    </row>
    <row r="5" spans="2:18" ht="15">
      <c r="B5" s="148" t="s">
        <v>117</v>
      </c>
      <c r="C5" s="266">
        <f>'CONCILIAÇÃO FINANCEIRA - GECOV'!C6</f>
        <v>0</v>
      </c>
      <c r="D5" s="266"/>
      <c r="E5" s="149"/>
      <c r="F5" s="149"/>
      <c r="G5" s="149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8">
      <c r="B6" s="263" t="s">
        <v>118</v>
      </c>
      <c r="C6" s="264" t="s">
        <v>119</v>
      </c>
      <c r="D6" s="263" t="s">
        <v>120</v>
      </c>
      <c r="E6" s="264" t="s">
        <v>121</v>
      </c>
      <c r="F6" s="263" t="s">
        <v>57</v>
      </c>
      <c r="G6" s="264" t="s">
        <v>122</v>
      </c>
      <c r="H6" s="263" t="s">
        <v>123</v>
      </c>
      <c r="I6" s="263"/>
      <c r="J6" s="263"/>
      <c r="K6" s="264" t="s">
        <v>124</v>
      </c>
      <c r="L6" s="264"/>
      <c r="M6" s="264"/>
      <c r="N6" s="264" t="s">
        <v>125</v>
      </c>
      <c r="O6" s="264"/>
      <c r="P6" s="264"/>
      <c r="Q6" s="2"/>
    </row>
    <row r="7" spans="2:18" ht="25.5">
      <c r="B7" s="263"/>
      <c r="C7" s="264"/>
      <c r="D7" s="263"/>
      <c r="E7" s="264"/>
      <c r="F7" s="263"/>
      <c r="G7" s="264"/>
      <c r="H7" s="47" t="s">
        <v>126</v>
      </c>
      <c r="I7" s="47" t="s">
        <v>57</v>
      </c>
      <c r="J7" s="47" t="s">
        <v>127</v>
      </c>
      <c r="K7" s="47" t="s">
        <v>126</v>
      </c>
      <c r="L7" s="47" t="s">
        <v>57</v>
      </c>
      <c r="M7" s="47" t="s">
        <v>127</v>
      </c>
      <c r="N7" s="47" t="s">
        <v>126</v>
      </c>
      <c r="O7" s="47" t="s">
        <v>57</v>
      </c>
      <c r="P7" s="47" t="s">
        <v>127</v>
      </c>
      <c r="Q7" s="2"/>
    </row>
    <row r="8" spans="2:18">
      <c r="B8" s="43" t="s">
        <v>128</v>
      </c>
      <c r="C8" s="138">
        <f>'CONCILIAÇÃO FINANCEIRA - GECOV'!D45</f>
        <v>0</v>
      </c>
      <c r="D8" s="46" t="e">
        <f>C8/C10*100</f>
        <v>#DIV/0!</v>
      </c>
      <c r="E8" s="39" t="e">
        <f>E10*D8%</f>
        <v>#DIV/0!</v>
      </c>
      <c r="F8" s="39" t="e">
        <f>F10*D8%</f>
        <v>#DIV/0!</v>
      </c>
      <c r="G8" s="41" t="e">
        <f>E20</f>
        <v>#DIV/0!</v>
      </c>
      <c r="H8" s="39" t="e">
        <f>IF(J8*(C8-E8)/(C8-E8+F8+G8)&gt;0,J8*(C8-E8)/(C8-E8+F8+G8),0)</f>
        <v>#DIV/0!</v>
      </c>
      <c r="I8" s="39" t="e">
        <f>IF(C8&gt;E8,J8*(F8+G8)/(C8-E8+F8+G8),E21)</f>
        <v>#DIV/0!</v>
      </c>
      <c r="J8" s="42">
        <f>E21</f>
        <v>0</v>
      </c>
      <c r="K8" s="39" t="e">
        <f>IF(C8-E8&gt;0,C8-E8,0)</f>
        <v>#DIV/0!</v>
      </c>
      <c r="L8" s="39" t="e">
        <f>IF(C8&gt;E8,F8+G8,F8+G8+C8-E8)</f>
        <v>#DIV/0!</v>
      </c>
      <c r="M8" s="39" t="e">
        <f>K8+L8</f>
        <v>#DIV/0!</v>
      </c>
      <c r="N8" s="39" t="e">
        <f>H8-K8</f>
        <v>#DIV/0!</v>
      </c>
      <c r="O8" s="39" t="e">
        <f>I8-L8-E17-E18</f>
        <v>#DIV/0!</v>
      </c>
      <c r="P8" s="39" t="e">
        <f>J8-M8-E17-E18</f>
        <v>#DIV/0!</v>
      </c>
      <c r="Q8" s="2"/>
    </row>
    <row r="9" spans="2:18">
      <c r="B9" s="43" t="s">
        <v>129</v>
      </c>
      <c r="C9" s="138">
        <f>'CONCILIAÇÃO FINANCEIRA - GECOV'!D46</f>
        <v>0</v>
      </c>
      <c r="D9" s="46" t="e">
        <f>C9/C10*100</f>
        <v>#DIV/0!</v>
      </c>
      <c r="E9" s="39" t="e">
        <f>E10*D9%</f>
        <v>#DIV/0!</v>
      </c>
      <c r="F9" s="39" t="e">
        <f>F10*D9%</f>
        <v>#DIV/0!</v>
      </c>
      <c r="G9" s="44">
        <v>0</v>
      </c>
      <c r="H9" s="44"/>
      <c r="I9" s="44"/>
      <c r="J9" s="45"/>
      <c r="K9" s="44"/>
      <c r="L9" s="44"/>
      <c r="M9" s="44"/>
      <c r="N9" s="44">
        <f>H9-K9</f>
        <v>0</v>
      </c>
      <c r="O9" s="44">
        <f>I9-L9</f>
        <v>0</v>
      </c>
      <c r="P9" s="44">
        <f>J9-M9</f>
        <v>0</v>
      </c>
      <c r="Q9" s="2"/>
    </row>
    <row r="10" spans="2:18">
      <c r="B10" s="43" t="s">
        <v>127</v>
      </c>
      <c r="C10" s="42">
        <f>C8+C9</f>
        <v>0</v>
      </c>
      <c r="D10" s="42" t="e">
        <f>D8+D9</f>
        <v>#DIV/0!</v>
      </c>
      <c r="E10" s="40">
        <f>'CONCILIAÇÃO FINANCEIRA - GECOV'!G47</f>
        <v>0</v>
      </c>
      <c r="F10" s="41">
        <f>'CONCILIAÇÃO FINANCEIRA - GECOV'!I31</f>
        <v>0</v>
      </c>
      <c r="G10" s="39" t="e">
        <f t="shared" ref="G10:L10" si="0">G8+G9</f>
        <v>#DIV/0!</v>
      </c>
      <c r="H10" s="39" t="e">
        <f t="shared" si="0"/>
        <v>#DIV/0!</v>
      </c>
      <c r="I10" s="39" t="e">
        <f t="shared" si="0"/>
        <v>#DIV/0!</v>
      </c>
      <c r="J10" s="40">
        <f t="shared" si="0"/>
        <v>0</v>
      </c>
      <c r="K10" s="39" t="e">
        <f t="shared" si="0"/>
        <v>#DIV/0!</v>
      </c>
      <c r="L10" s="39" t="e">
        <f t="shared" si="0"/>
        <v>#DIV/0!</v>
      </c>
      <c r="M10" s="39" t="e">
        <f>K10+L10</f>
        <v>#DIV/0!</v>
      </c>
      <c r="N10" s="39" t="e">
        <f>H10-K10</f>
        <v>#DIV/0!</v>
      </c>
      <c r="O10" s="39" t="e">
        <f>I10-L10-E17-E18</f>
        <v>#DIV/0!</v>
      </c>
      <c r="P10" s="39" t="e">
        <f>J10-M10-E17-E18</f>
        <v>#DIV/0!</v>
      </c>
      <c r="Q10" s="2"/>
    </row>
    <row r="11" spans="2:18">
      <c r="B11" s="2"/>
      <c r="C11" s="38"/>
      <c r="D11" s="38"/>
      <c r="E11" s="38"/>
      <c r="F11" s="13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2:18">
      <c r="B12" s="2"/>
      <c r="C12" s="38"/>
      <c r="D12" s="38"/>
      <c r="E12" s="38"/>
      <c r="F12" s="13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2:18">
      <c r="B13" s="261" t="s">
        <v>130</v>
      </c>
      <c r="C13" s="261"/>
      <c r="D13" s="261"/>
      <c r="E13" s="261"/>
      <c r="F13" s="13"/>
      <c r="G13" s="13"/>
      <c r="H13" s="2"/>
      <c r="I13" s="2"/>
      <c r="J13" s="2"/>
      <c r="K13" s="2"/>
      <c r="L13" s="2"/>
      <c r="M13" s="2"/>
      <c r="N13" s="13"/>
      <c r="O13" s="2"/>
      <c r="P13" s="2"/>
      <c r="Q13" s="2"/>
      <c r="R13" s="2"/>
    </row>
    <row r="14" spans="2:18">
      <c r="B14" s="255" t="s">
        <v>131</v>
      </c>
      <c r="C14" s="255"/>
      <c r="D14" s="255"/>
      <c r="E14" s="56">
        <f>C8</f>
        <v>0</v>
      </c>
      <c r="F14" s="13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2:18" ht="13.5" thickBot="1">
      <c r="B15" s="255" t="s">
        <v>97</v>
      </c>
      <c r="C15" s="255"/>
      <c r="D15" s="255"/>
      <c r="E15" s="56">
        <f>C9</f>
        <v>0</v>
      </c>
      <c r="F15" s="13"/>
      <c r="G15" s="13"/>
      <c r="H15" s="2"/>
      <c r="I15" s="37" t="s">
        <v>132</v>
      </c>
      <c r="J15" s="2"/>
      <c r="K15" s="2"/>
      <c r="L15" s="2"/>
      <c r="M15" s="2"/>
      <c r="N15" s="2"/>
      <c r="O15" s="2"/>
      <c r="P15" s="2"/>
      <c r="Q15" s="2"/>
      <c r="R15" s="2"/>
    </row>
    <row r="16" spans="2:18" ht="13.5" thickBot="1">
      <c r="B16" s="255" t="s">
        <v>133</v>
      </c>
      <c r="C16" s="255"/>
      <c r="D16" s="255"/>
      <c r="E16" s="56">
        <f>'CONCILIAÇÃO FINANCEIRA - GECOV'!F42</f>
        <v>0</v>
      </c>
      <c r="F16" s="13"/>
      <c r="G16" s="13"/>
      <c r="H16" s="2"/>
      <c r="I16" s="36" t="s">
        <v>134</v>
      </c>
      <c r="J16" s="35"/>
      <c r="K16" s="35"/>
      <c r="L16" s="35"/>
      <c r="M16" s="34">
        <f>M20+M21</f>
        <v>0</v>
      </c>
      <c r="N16" s="2"/>
      <c r="O16" s="13"/>
      <c r="P16" s="2"/>
      <c r="Q16" s="2"/>
      <c r="R16" s="2"/>
    </row>
    <row r="17" spans="2:20">
      <c r="B17" s="258" t="s">
        <v>135</v>
      </c>
      <c r="C17" s="259"/>
      <c r="D17" s="260"/>
      <c r="E17" s="48" t="e">
        <f>'CONCILIAÇÃO FINANCEIRA - GECOV'!F51</f>
        <v>#DIV/0!</v>
      </c>
      <c r="F17" s="13"/>
      <c r="G17" s="13"/>
      <c r="H17" s="2"/>
      <c r="I17" s="31" t="s">
        <v>136</v>
      </c>
      <c r="J17" s="33"/>
      <c r="K17" s="33"/>
      <c r="L17" s="33"/>
      <c r="M17" s="50"/>
      <c r="N17" s="2"/>
      <c r="O17" s="2"/>
      <c r="P17" s="2"/>
      <c r="Q17" s="2"/>
      <c r="R17" s="2"/>
    </row>
    <row r="18" spans="2:20">
      <c r="B18" s="52" t="s">
        <v>137</v>
      </c>
      <c r="C18" s="53"/>
      <c r="D18" s="54"/>
      <c r="E18" s="48"/>
      <c r="F18" s="13"/>
      <c r="G18" s="13"/>
      <c r="H18" s="2"/>
      <c r="I18" s="31" t="s">
        <v>138</v>
      </c>
      <c r="J18" s="33"/>
      <c r="K18" s="33"/>
      <c r="L18" s="33"/>
      <c r="M18" s="50"/>
      <c r="N18" s="2"/>
      <c r="O18" s="2"/>
      <c r="P18" s="13"/>
      <c r="Q18" s="2"/>
      <c r="R18" s="2"/>
    </row>
    <row r="19" spans="2:20">
      <c r="B19" s="255" t="s">
        <v>139</v>
      </c>
      <c r="C19" s="255"/>
      <c r="D19" s="255"/>
      <c r="E19" s="49">
        <f>'CONCILIAÇÃO FINANCEIRA - GECOV'!I31</f>
        <v>0</v>
      </c>
      <c r="F19" s="13"/>
      <c r="G19" s="13"/>
      <c r="H19" s="2"/>
      <c r="I19" s="31" t="s">
        <v>140</v>
      </c>
      <c r="J19" s="33"/>
      <c r="K19" s="33"/>
      <c r="L19" s="33"/>
      <c r="M19" s="32">
        <f>M20-M17-M18</f>
        <v>0</v>
      </c>
      <c r="N19" s="26"/>
      <c r="O19" s="2"/>
      <c r="P19" s="2"/>
      <c r="Q19" s="2"/>
      <c r="R19" s="2"/>
    </row>
    <row r="20" spans="2:20">
      <c r="B20" s="255" t="s">
        <v>122</v>
      </c>
      <c r="C20" s="255"/>
      <c r="D20" s="255"/>
      <c r="E20" s="49" t="e">
        <f>'CONCILIAÇÃO FINANCEIRA - GECOV'!D51+'CONCILIAÇÃO FINANCEIRA - GECOV'!E51+'CONCILIAÇÃO FINANCEIRA - GECOV'!G51+'CONCILIAÇÃO FINANCEIRA - GECOV'!H51+'CONCILIAÇÃO FINANCEIRA - GECOV'!G57+'CONCILIAÇÃO FINANCEIRA - GECOV'!G58</f>
        <v>#DIV/0!</v>
      </c>
      <c r="F20" s="13"/>
      <c r="G20" s="2"/>
      <c r="H20" s="2"/>
      <c r="I20" s="31" t="s">
        <v>141</v>
      </c>
      <c r="J20" s="2"/>
      <c r="K20" s="2"/>
      <c r="L20" s="2"/>
      <c r="M20" s="51">
        <f>'CONCILIAÇÃO FINANCEIRA - GECOV'!J51+'CONCILIAÇÃO FINANCEIRA - GECOV'!M51+'CONCILIAÇÃO FINANCEIRA - GECOV'!D57+'CONCILIAÇÃO FINANCEIRA - GECOV'!D58</f>
        <v>0</v>
      </c>
      <c r="N20" s="2"/>
      <c r="O20" s="13"/>
      <c r="P20" s="2"/>
      <c r="Q20" s="2"/>
      <c r="R20" s="2"/>
    </row>
    <row r="21" spans="2:20" ht="13.5" thickBot="1">
      <c r="B21" s="255" t="s">
        <v>142</v>
      </c>
      <c r="C21" s="255"/>
      <c r="D21" s="255"/>
      <c r="E21" s="30">
        <f>M16</f>
        <v>0</v>
      </c>
      <c r="F21" s="2"/>
      <c r="G21" s="2"/>
      <c r="H21" s="2"/>
      <c r="I21" s="29"/>
      <c r="J21" s="28"/>
      <c r="K21" s="28"/>
      <c r="L21" s="28"/>
      <c r="M21" s="27"/>
      <c r="N21" s="2"/>
      <c r="O21" s="13"/>
      <c r="P21" s="2"/>
      <c r="Q21" s="2"/>
      <c r="R21" s="2"/>
    </row>
    <row r="22" spans="2:20">
      <c r="B22" s="26" t="s">
        <v>143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2:20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13"/>
      <c r="P23" s="2"/>
      <c r="Q23" s="2"/>
      <c r="R23" s="2"/>
    </row>
    <row r="24" spans="2:20">
      <c r="B24" s="256" t="s">
        <v>144</v>
      </c>
      <c r="C24" s="256"/>
      <c r="D24" s="256"/>
      <c r="E24" s="2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2:20">
      <c r="B25" s="257" t="s">
        <v>145</v>
      </c>
      <c r="C25" s="257"/>
      <c r="D25" s="257"/>
      <c r="E25" s="24" t="e">
        <f>IF(E8&gt;C8,F8+G8+C8-E8,F8+G8)+E18</f>
        <v>#DIV/0!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2:20" ht="21">
      <c r="B26" s="243" t="s">
        <v>146</v>
      </c>
      <c r="C26" s="243"/>
      <c r="D26" s="243"/>
      <c r="E26" s="23" t="e">
        <f>IF(C8&gt;E8,E8,C8)-E17</f>
        <v>#DIV/0!</v>
      </c>
      <c r="F26" s="2"/>
      <c r="G26" s="2"/>
      <c r="H26" s="2"/>
      <c r="I26" s="22" t="s">
        <v>147</v>
      </c>
      <c r="J26" s="22"/>
      <c r="K26" s="22"/>
      <c r="L26" s="22"/>
      <c r="M26" s="22"/>
      <c r="N26" s="2"/>
      <c r="O26" s="2"/>
      <c r="P26" s="2"/>
      <c r="Q26" s="2"/>
      <c r="R26" s="2"/>
    </row>
    <row r="27" spans="2:20">
      <c r="B27" s="248" t="s">
        <v>148</v>
      </c>
      <c r="C27" s="248"/>
      <c r="D27" s="248"/>
      <c r="E27" s="21" t="e">
        <f>IF(E26+K8=E14,E26+K8,C8)</f>
        <v>#DIV/0!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2:20">
      <c r="B28" s="2" t="s">
        <v>149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2:20">
      <c r="B29" s="2"/>
      <c r="C29" s="2"/>
      <c r="D29" s="2"/>
      <c r="E29" s="1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2:20" ht="13.5" thickBot="1">
      <c r="B30" s="2"/>
      <c r="C30" s="2"/>
      <c r="D30" s="2"/>
      <c r="E30" s="20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2:20" ht="13.5" thickBot="1">
      <c r="B31" s="249" t="s">
        <v>150</v>
      </c>
      <c r="C31" s="250"/>
      <c r="D31" s="250"/>
      <c r="E31" s="19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2:20">
      <c r="B32" s="251" t="s">
        <v>128</v>
      </c>
      <c r="C32" s="252"/>
      <c r="D32" s="252"/>
      <c r="E32" s="12" t="e">
        <f>L8+E18</f>
        <v>#DIV/0!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18" t="s">
        <v>119</v>
      </c>
      <c r="T32" s="17">
        <f>E14</f>
        <v>0</v>
      </c>
    </row>
    <row r="33" spans="2:21">
      <c r="B33" s="251" t="s">
        <v>151</v>
      </c>
      <c r="C33" s="252"/>
      <c r="D33" s="252"/>
      <c r="E33" s="12" t="e">
        <f>K8+E17</f>
        <v>#DIV/0!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9" t="s">
        <v>152</v>
      </c>
      <c r="T33" s="8" t="e">
        <f>E8</f>
        <v>#DIV/0!</v>
      </c>
      <c r="U33" s="16" t="e">
        <f>T32-T33</f>
        <v>#DIV/0!</v>
      </c>
    </row>
    <row r="34" spans="2:21">
      <c r="B34" s="253" t="s">
        <v>153</v>
      </c>
      <c r="C34" s="254"/>
      <c r="D34" s="254"/>
      <c r="E34" s="15" t="e">
        <f>E32+E33</f>
        <v>#DIV/0!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9" t="s">
        <v>154</v>
      </c>
      <c r="T34" s="8" t="e">
        <f>F8</f>
        <v>#DIV/0!</v>
      </c>
      <c r="U34" s="1">
        <v>2966.4</v>
      </c>
    </row>
    <row r="35" spans="2:21">
      <c r="B35" s="244" t="s">
        <v>155</v>
      </c>
      <c r="C35" s="245"/>
      <c r="D35" s="245"/>
      <c r="E35" s="14" t="e">
        <f>IF(P8&gt;0,P8,0)</f>
        <v>#DIV/0!</v>
      </c>
      <c r="F35" s="2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9" t="s">
        <v>122</v>
      </c>
      <c r="T35" s="8" t="e">
        <f>G8</f>
        <v>#DIV/0!</v>
      </c>
    </row>
    <row r="36" spans="2:21">
      <c r="B36" s="244" t="s">
        <v>156</v>
      </c>
      <c r="C36" s="245"/>
      <c r="D36" s="245"/>
      <c r="E36" s="12" t="e">
        <f>IF(P8&lt;0,-P10,0)</f>
        <v>#DIV/0!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9" t="s">
        <v>157</v>
      </c>
      <c r="T36" s="8" t="e">
        <f>E17+E18</f>
        <v>#DIV/0!</v>
      </c>
    </row>
    <row r="37" spans="2:21" ht="13.5" thickBot="1">
      <c r="B37" s="246" t="s">
        <v>158</v>
      </c>
      <c r="C37" s="247"/>
      <c r="D37" s="247"/>
      <c r="E37" s="11" t="e">
        <f>E34+E35-E36</f>
        <v>#DIV/0!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9"/>
      <c r="T37" s="10"/>
    </row>
    <row r="38" spans="2:21">
      <c r="B38" s="2"/>
      <c r="C38" s="2"/>
      <c r="D38" s="2"/>
      <c r="E38" s="2"/>
      <c r="F38" s="2"/>
      <c r="G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9" t="s">
        <v>159</v>
      </c>
      <c r="T38" s="8">
        <f>E21</f>
        <v>0</v>
      </c>
    </row>
    <row r="39" spans="2:21">
      <c r="B39" s="2"/>
      <c r="C39" s="2"/>
      <c r="D39" s="2"/>
      <c r="E39" s="2"/>
      <c r="F39" s="2"/>
      <c r="G39" s="2"/>
      <c r="M39" s="2"/>
      <c r="N39" s="2"/>
      <c r="O39" s="2"/>
      <c r="S39" s="7"/>
      <c r="T39" s="6"/>
    </row>
    <row r="40" spans="2:21" ht="13.5" thickBot="1">
      <c r="B40" s="2"/>
      <c r="C40" s="2"/>
      <c r="D40" s="2"/>
      <c r="E40" s="2"/>
      <c r="F40" s="2"/>
      <c r="G40" s="2"/>
      <c r="S40" s="5" t="s">
        <v>160</v>
      </c>
      <c r="T40" s="4" t="e">
        <f>T32-T33+T34+T35-T38+T36</f>
        <v>#DIV/0!</v>
      </c>
      <c r="U40" s="3" t="e">
        <f>IF(-T40=P10,"OK","****erro****")</f>
        <v>#DIV/0!</v>
      </c>
    </row>
    <row r="41" spans="2:21">
      <c r="B41" s="2"/>
      <c r="C41" s="2"/>
      <c r="D41" s="2"/>
      <c r="E41" s="2"/>
    </row>
    <row r="42" spans="2:21">
      <c r="B42" s="2"/>
      <c r="C42" s="2"/>
      <c r="D42" s="2"/>
      <c r="E42" s="2"/>
    </row>
  </sheetData>
  <sheetProtection selectLockedCells="1"/>
  <protectedRanges>
    <protectedRange sqref="E14:E20 M17:M18 M20:M21" name="Intervalo1"/>
  </protectedRanges>
  <mergeCells count="31">
    <mergeCell ref="B13:E13"/>
    <mergeCell ref="B3:P3"/>
    <mergeCell ref="B6:B7"/>
    <mergeCell ref="C6:C7"/>
    <mergeCell ref="D6:D7"/>
    <mergeCell ref="E6:E7"/>
    <mergeCell ref="F6:F7"/>
    <mergeCell ref="G6:G7"/>
    <mergeCell ref="H6:J6"/>
    <mergeCell ref="K6:M6"/>
    <mergeCell ref="N6:P6"/>
    <mergeCell ref="C4:D4"/>
    <mergeCell ref="C5:D5"/>
    <mergeCell ref="B14:D14"/>
    <mergeCell ref="B15:D15"/>
    <mergeCell ref="B16:D16"/>
    <mergeCell ref="B24:D24"/>
    <mergeCell ref="B25:D25"/>
    <mergeCell ref="B17:D17"/>
    <mergeCell ref="B19:D19"/>
    <mergeCell ref="B20:D20"/>
    <mergeCell ref="B21:D21"/>
    <mergeCell ref="B26:D26"/>
    <mergeCell ref="B36:D36"/>
    <mergeCell ref="B37:D37"/>
    <mergeCell ref="B27:D27"/>
    <mergeCell ref="B31:D31"/>
    <mergeCell ref="B32:D32"/>
    <mergeCell ref="B33:D33"/>
    <mergeCell ref="B34:D34"/>
    <mergeCell ref="B35:D35"/>
  </mergeCells>
  <pageMargins left="0.51181102362204722" right="0.51181102362204722" top="0.78740157480314965" bottom="0.78740157480314965" header="0.31496062992125984" footer="0.31496062992125984"/>
  <pageSetup paperSize="9" scale="53" orientation="landscape" horizontalDpi="300" verticalDpi="300" r:id="rId1"/>
  <headerFooter>
    <oddHeader>&amp;L&amp;G</oddHeader>
    <oddFooter>&amp;A&amp;RPágina &amp;P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4C49D281836D4E92FD382DEA1B6B69" ma:contentTypeVersion="16" ma:contentTypeDescription="Crie um novo documento." ma:contentTypeScope="" ma:versionID="c9c5ab7ab59fdd6094d4fb94303f4c09">
  <xsd:schema xmlns:xsd="http://www.w3.org/2001/XMLSchema" xmlns:xs="http://www.w3.org/2001/XMLSchema" xmlns:p="http://schemas.microsoft.com/office/2006/metadata/properties" xmlns:ns2="5eb5d589-dbdd-4f3f-b74b-9cfd9011a81a" xmlns:ns3="414d09f0-56df-423b-92e5-75650b3356a2" targetNamespace="http://schemas.microsoft.com/office/2006/metadata/properties" ma:root="true" ma:fieldsID="8cbab583ee36b893f1481fac439dc718" ns2:_="" ns3:_="">
    <xsd:import namespace="5eb5d589-dbdd-4f3f-b74b-9cfd9011a81a"/>
    <xsd:import namespace="414d09f0-56df-423b-92e5-75650b3356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b5d589-dbdd-4f3f-b74b-9cfd9011a8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1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d09f0-56df-423b-92e5-75650b3356a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aaa2f68-0617-449f-bd70-874c3a12be29}" ma:internalName="TaxCatchAll" ma:showField="CatchAllData" ma:web="414d09f0-56df-423b-92e5-75650b3356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4d09f0-56df-423b-92e5-75650b3356a2" xsi:nil="true"/>
    <lcf76f155ced4ddcb4097134ff3c332f xmlns="5eb5d589-dbdd-4f3f-b74b-9cfd9011a81a">
      <Terms xmlns="http://schemas.microsoft.com/office/infopath/2007/PartnerControls"/>
    </lcf76f155ced4ddcb4097134ff3c332f>
    <_Flow_SignoffStatus xmlns="5eb5d589-dbdd-4f3f-b74b-9cfd9011a81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87148A-9C2A-470D-B346-4B5F5A3DCBF1}"/>
</file>

<file path=customXml/itemProps2.xml><?xml version="1.0" encoding="utf-8"?>
<ds:datastoreItem xmlns:ds="http://schemas.openxmlformats.org/officeDocument/2006/customXml" ds:itemID="{A8D9DE76-A8B8-41BF-9B42-17F8EB192370}"/>
</file>

<file path=customXml/itemProps3.xml><?xml version="1.0" encoding="utf-8"?>
<ds:datastoreItem xmlns:ds="http://schemas.openxmlformats.org/officeDocument/2006/customXml" ds:itemID="{E18DDCBE-A3A5-4097-9E55-85269EB0F9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Débora Cristina Barcelos de Lima</dc:creator>
  <cp:keywords/>
  <dc:description/>
  <cp:lastModifiedBy>Sérgio Augusto Furtado de Mello (MGI)</cp:lastModifiedBy>
  <cp:revision/>
  <dcterms:created xsi:type="dcterms:W3CDTF">2019-12-16T12:16:49Z</dcterms:created>
  <dcterms:modified xsi:type="dcterms:W3CDTF">2025-07-18T14:02:50Z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0x0101006F4C49D281836D4E92FD382DEA1B6B69</vt:lpwstr>
  </property>
  <property fmtid="{D5CDD505-2E9C-101B-9397-08002B2CF9AE}" pid="3" name="Order">
    <vt:r8>16161600</vt:r8>
  </property>
  <property fmtid="{D5CDD505-2E9C-101B-9397-08002B2CF9AE}" pid="4" name="MediaServiceImageTags">
    <vt:lpwstr/>
  </property>
</Properties>
</file>