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03"/>
  <workbookPr showInkAnnotation="0"/>
  <mc:AlternateContent xmlns:mc="http://schemas.openxmlformats.org/markup-compatibility/2006">
    <mc:Choice Requires="x15">
      <x15ac:absPath xmlns:x15ac="http://schemas.microsoft.com/office/spreadsheetml/2010/11/ac" url="N:\5. PRESTAÇAO DE CONTAS\1. MODELOS\1. ANÁLISE DE PREST. DE CONTAS NOVO TCT - SEINFRA\"/>
    </mc:Choice>
  </mc:AlternateContent>
  <xr:revisionPtr revIDLastSave="4" documentId="11_D66181BFE316D1F4B764ECFA9F09240F5A199B2A" xr6:coauthVersionLast="47" xr6:coauthVersionMax="47" xr10:uidLastSave="{C1566F77-17BD-4A68-8175-F947D53E60B7}"/>
  <bookViews>
    <workbookView xWindow="0" yWindow="0" windowWidth="2400" windowHeight="585" xr2:uid="{00000000-000D-0000-FFFF-FFFF00000000}"/>
  </bookViews>
  <sheets>
    <sheet name="CONCILIAÇÃO FINANCEIRA - GECOV" sheetId="6" r:id="rId1"/>
    <sheet name="GECON" sheetId="8" r:id="rId2"/>
  </sheets>
  <definedNames>
    <definedName name="_xlnm._FilterDatabase" localSheetId="0" hidden="1">'CONCILIAÇÃO FINANCEIRA - GECOV'!$B$9:$P$45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1" i="6" l="1"/>
  <c r="D69" i="6"/>
  <c r="C69" i="6"/>
  <c r="C138" i="6"/>
  <c r="C140" i="6" s="1"/>
  <c r="E69" i="6" l="1"/>
  <c r="C142" i="6"/>
  <c r="C144" i="6" s="1"/>
  <c r="J50" i="6"/>
  <c r="J51" i="6"/>
  <c r="J52" i="6"/>
  <c r="J53" i="6"/>
  <c r="J49" i="6"/>
  <c r="I54" i="6"/>
  <c r="C8" i="8" l="1"/>
  <c r="M20" i="8" l="1"/>
  <c r="M19" i="8" s="1"/>
  <c r="C9" i="8" l="1"/>
  <c r="E15" i="8" s="1"/>
  <c r="E14" i="8"/>
  <c r="C5" i="8"/>
  <c r="C4" i="8"/>
  <c r="F59" i="6" l="1"/>
  <c r="D95" i="6" l="1"/>
  <c r="D97" i="6" s="1"/>
  <c r="J65" i="6" s="1"/>
  <c r="I81" i="6"/>
  <c r="F81" i="6"/>
  <c r="G81" i="6" s="1"/>
  <c r="I80" i="6"/>
  <c r="F80" i="6"/>
  <c r="G80" i="6" s="1"/>
  <c r="I79" i="6"/>
  <c r="F79" i="6"/>
  <c r="G79" i="6" s="1"/>
  <c r="F90" i="6"/>
  <c r="H65" i="6" s="1"/>
  <c r="J89" i="6"/>
  <c r="G89" i="6"/>
  <c r="H89" i="6" s="1"/>
  <c r="J88" i="6"/>
  <c r="G88" i="6"/>
  <c r="H88" i="6" s="1"/>
  <c r="J87" i="6"/>
  <c r="G87" i="6"/>
  <c r="H87" i="6" s="1"/>
  <c r="I82" i="6" l="1"/>
  <c r="G65" i="6" s="1"/>
  <c r="J90" i="6"/>
  <c r="I65" i="6" s="1"/>
  <c r="I71" i="6" l="1"/>
  <c r="I73" i="6"/>
  <c r="K73" i="6" s="1"/>
  <c r="I72" i="6"/>
  <c r="K72" i="6" s="1"/>
  <c r="F72" i="6"/>
  <c r="G72" i="6" s="1"/>
  <c r="F71" i="6"/>
  <c r="G71" i="6" s="1"/>
  <c r="I70" i="6"/>
  <c r="K70" i="6" s="1"/>
  <c r="I69" i="6"/>
  <c r="F69" i="6"/>
  <c r="D59" i="6"/>
  <c r="H54" i="6"/>
  <c r="G54" i="6"/>
  <c r="F54" i="6"/>
  <c r="E58" i="6" l="1"/>
  <c r="I64" i="6" s="1"/>
  <c r="D63" i="6"/>
  <c r="J54" i="6"/>
  <c r="E57" i="6"/>
  <c r="J63" i="6" s="1"/>
  <c r="G59" i="6"/>
  <c r="E16" i="8"/>
  <c r="L72" i="6"/>
  <c r="G64" i="6"/>
  <c r="K71" i="6"/>
  <c r="L71" i="6" s="1"/>
  <c r="K69" i="6"/>
  <c r="L69" i="6" s="1"/>
  <c r="I74" i="6"/>
  <c r="L70" i="6"/>
  <c r="L73" i="6"/>
  <c r="F70" i="6"/>
  <c r="G70" i="6" s="1"/>
  <c r="F73" i="6"/>
  <c r="G73" i="6" s="1"/>
  <c r="G58" i="6" l="1"/>
  <c r="H58" i="6" s="1"/>
  <c r="D64" i="6" s="1"/>
  <c r="G57" i="6"/>
  <c r="H57" i="6" s="1"/>
  <c r="E10" i="8"/>
  <c r="G63" i="6"/>
  <c r="E59" i="6"/>
  <c r="I63" i="6"/>
  <c r="L74" i="6"/>
  <c r="F65" i="6" s="1"/>
  <c r="H59" i="6" l="1"/>
  <c r="D65" i="6"/>
  <c r="H64" i="6"/>
  <c r="H63" i="6"/>
  <c r="E17" i="8" s="1"/>
  <c r="F64" i="6"/>
  <c r="F63" i="6"/>
  <c r="E20" i="8" s="1"/>
  <c r="J14" i="6" l="1"/>
  <c r="K14" i="6"/>
  <c r="J15" i="6"/>
  <c r="K15" i="6"/>
  <c r="J16" i="6"/>
  <c r="K16" i="6"/>
  <c r="J17" i="6"/>
  <c r="K17" i="6"/>
  <c r="J18" i="6"/>
  <c r="K18" i="6"/>
  <c r="J19" i="6"/>
  <c r="K19" i="6"/>
  <c r="J20" i="6"/>
  <c r="K20" i="6"/>
  <c r="J21" i="6"/>
  <c r="K21" i="6"/>
  <c r="J22" i="6"/>
  <c r="K22" i="6"/>
  <c r="J23" i="6"/>
  <c r="K23" i="6"/>
  <c r="J24" i="6"/>
  <c r="K24" i="6"/>
  <c r="J25" i="6"/>
  <c r="K25" i="6"/>
  <c r="J26" i="6"/>
  <c r="K26" i="6"/>
  <c r="J27" i="6"/>
  <c r="K27" i="6"/>
  <c r="J28" i="6"/>
  <c r="K28" i="6"/>
  <c r="J29" i="6"/>
  <c r="K29" i="6"/>
  <c r="J30" i="6"/>
  <c r="K30" i="6"/>
  <c r="J31" i="6"/>
  <c r="K31" i="6"/>
  <c r="J32" i="6"/>
  <c r="K32" i="6"/>
  <c r="J33" i="6"/>
  <c r="K33" i="6"/>
  <c r="J34" i="6"/>
  <c r="K34" i="6"/>
  <c r="J35" i="6"/>
  <c r="K35" i="6"/>
  <c r="J36" i="6"/>
  <c r="K36" i="6"/>
  <c r="J37" i="6"/>
  <c r="K37" i="6"/>
  <c r="J38" i="6"/>
  <c r="K38" i="6"/>
  <c r="J39" i="6"/>
  <c r="K39" i="6"/>
  <c r="J40" i="6"/>
  <c r="K40" i="6"/>
  <c r="J41" i="6"/>
  <c r="K41" i="6"/>
  <c r="J42" i="6"/>
  <c r="K42" i="6"/>
  <c r="J43" i="6"/>
  <c r="K43" i="6"/>
  <c r="G14" i="6"/>
  <c r="H14" i="6"/>
  <c r="G15" i="6"/>
  <c r="H15" i="6"/>
  <c r="G16" i="6"/>
  <c r="H16" i="6"/>
  <c r="G17" i="6"/>
  <c r="H17" i="6"/>
  <c r="G18" i="6"/>
  <c r="H18" i="6"/>
  <c r="G19" i="6"/>
  <c r="H19" i="6"/>
  <c r="G20" i="6"/>
  <c r="H20" i="6"/>
  <c r="G21" i="6"/>
  <c r="H21" i="6"/>
  <c r="G22" i="6"/>
  <c r="H22" i="6"/>
  <c r="G23" i="6"/>
  <c r="H23" i="6"/>
  <c r="G24" i="6"/>
  <c r="H24" i="6"/>
  <c r="G25" i="6"/>
  <c r="H25" i="6"/>
  <c r="G26" i="6"/>
  <c r="H26" i="6"/>
  <c r="G27" i="6"/>
  <c r="H27" i="6"/>
  <c r="G28" i="6"/>
  <c r="H28" i="6"/>
  <c r="G29" i="6"/>
  <c r="H29" i="6"/>
  <c r="G30" i="6"/>
  <c r="H30" i="6"/>
  <c r="G31" i="6"/>
  <c r="H31" i="6"/>
  <c r="G32" i="6"/>
  <c r="H32" i="6"/>
  <c r="G33" i="6"/>
  <c r="H33" i="6"/>
  <c r="G34" i="6"/>
  <c r="H34" i="6"/>
  <c r="G35" i="6"/>
  <c r="H35" i="6"/>
  <c r="G36" i="6"/>
  <c r="H36" i="6"/>
  <c r="G37" i="6"/>
  <c r="H37" i="6"/>
  <c r="G38" i="6"/>
  <c r="H38" i="6"/>
  <c r="G39" i="6"/>
  <c r="H39" i="6"/>
  <c r="G40" i="6"/>
  <c r="H40" i="6"/>
  <c r="G41" i="6"/>
  <c r="H41" i="6"/>
  <c r="G42" i="6"/>
  <c r="H42" i="6"/>
  <c r="G43" i="6"/>
  <c r="H43" i="6"/>
  <c r="J11" i="6" l="1"/>
  <c r="K11" i="6"/>
  <c r="J12" i="6"/>
  <c r="K12" i="6"/>
  <c r="J13" i="6"/>
  <c r="K13" i="6"/>
  <c r="J44" i="6"/>
  <c r="K44" i="6"/>
  <c r="K10" i="6"/>
  <c r="J10" i="6"/>
  <c r="H11" i="6" l="1"/>
  <c r="H12" i="6"/>
  <c r="H13" i="6"/>
  <c r="H44" i="6"/>
  <c r="H10" i="6"/>
  <c r="G11" i="6"/>
  <c r="G12" i="6"/>
  <c r="G13" i="6"/>
  <c r="G44" i="6"/>
  <c r="G10" i="6"/>
  <c r="F10" i="6" l="1"/>
  <c r="F11" i="6" s="1"/>
  <c r="F12" i="6" s="1"/>
  <c r="F13" i="6" s="1"/>
  <c r="F14" i="6" l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N9" i="8" l="1"/>
  <c r="O9" i="8"/>
  <c r="P9" i="8"/>
  <c r="M16" i="8"/>
  <c r="E21" i="8" s="1"/>
  <c r="J8" i="8" s="1"/>
  <c r="T32" i="8"/>
  <c r="C10" i="8" l="1"/>
  <c r="T38" i="8"/>
  <c r="J10" i="8"/>
  <c r="D9" i="8" l="1"/>
  <c r="D8" i="8"/>
  <c r="E8" i="8" s="1"/>
  <c r="T33" i="8" s="1"/>
  <c r="D10" i="8" l="1"/>
  <c r="E9" i="8"/>
  <c r="K8" i="8"/>
  <c r="K10" i="8" s="1"/>
  <c r="U33" i="8"/>
  <c r="D45" i="6" l="1"/>
  <c r="J45" i="6" l="1"/>
  <c r="K45" i="6"/>
  <c r="E45" i="6"/>
  <c r="F45" i="6" s="1"/>
  <c r="L45" i="6" l="1"/>
  <c r="G45" i="6" l="1"/>
  <c r="H45" i="6"/>
  <c r="I15" i="6" s="1"/>
  <c r="E65" i="6" l="1"/>
  <c r="F10" i="8" s="1"/>
  <c r="E19" i="8" l="1"/>
  <c r="F8" i="8"/>
  <c r="T34" i="8" s="1"/>
  <c r="E63" i="6"/>
  <c r="K63" i="6" s="1"/>
  <c r="E64" i="6"/>
  <c r="F9" i="8"/>
  <c r="M63" i="6" l="1"/>
  <c r="K65" i="6"/>
  <c r="E33" i="8" l="1"/>
  <c r="E26" i="8"/>
  <c r="E27" i="8" s="1"/>
  <c r="T36" i="8" l="1"/>
  <c r="J64" i="6" l="1"/>
  <c r="K64" i="6" s="1"/>
  <c r="G8" i="8"/>
  <c r="I8" i="8" l="1"/>
  <c r="I10" i="8" s="1"/>
  <c r="E25" i="8"/>
  <c r="L8" i="8"/>
  <c r="H8" i="8"/>
  <c r="T35" i="8"/>
  <c r="T40" i="8" s="1"/>
  <c r="G10" i="8"/>
  <c r="O8" i="8" l="1"/>
  <c r="M8" i="8"/>
  <c r="P8" i="8" s="1"/>
  <c r="E32" i="8"/>
  <c r="E34" i="8" s="1"/>
  <c r="L10" i="8"/>
  <c r="M10" i="8" s="1"/>
  <c r="P10" i="8" s="1"/>
  <c r="U40" i="8" s="1"/>
  <c r="N8" i="8"/>
  <c r="H10" i="8"/>
  <c r="N10" i="8" s="1"/>
  <c r="E35" i="8" l="1"/>
  <c r="E36" i="8"/>
  <c r="O10" i="8"/>
  <c r="E37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Gean Furtado Schmitt</author>
  </authors>
  <commentList>
    <comment ref="G68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
CÉLULA EM DESTAQUE NÃO NECESSITA MEXER, POIS POSSUI FÓRMULA</t>
        </r>
      </text>
    </comment>
    <comment ref="G78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
CÉLULA EM DESTAQUE NÃO NECESSITA MEXER, POIS POSSUI FÓRMULA</t>
        </r>
      </text>
    </comment>
    <comment ref="H86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
CÉLULA EM DESTAQUE NÃO NECESSITA MEXER, POIS POSSUI FÓRMULA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Samuel Cardoso Firmino Pinto (MGI)</author>
  </authors>
  <commentList>
    <comment ref="E17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Samuel Cardoso Firmino Pinto (MGI):</t>
        </r>
        <r>
          <rPr>
            <sz val="9"/>
            <color indexed="81"/>
            <rFont val="Segoe UI"/>
            <family val="2"/>
          </rPr>
          <t xml:space="preserve">
Formado por "Não Exec. Parcial/Omissão Parcial" +Glosa/Nota Técnica" + "Despesas Indevidas".  PROPORCIONAL</t>
        </r>
      </text>
    </comment>
    <comment ref="E20" authorId="0" shapeId="0" xr:uid="{00000000-0006-0000-0100-000002000000}">
      <text>
        <r>
          <rPr>
            <b/>
            <sz val="9"/>
            <color indexed="81"/>
            <rFont val="Segoe UI"/>
            <family val="2"/>
          </rPr>
          <t>Samuel Cardoso Firmino Pinto (MGI):</t>
        </r>
        <r>
          <rPr>
            <sz val="9"/>
            <color indexed="81"/>
            <rFont val="Segoe UI"/>
            <family val="2"/>
          </rPr>
          <t xml:space="preserve">
Proporcional</t>
        </r>
      </text>
    </comment>
  </commentList>
</comments>
</file>

<file path=xl/sharedStrings.xml><?xml version="1.0" encoding="utf-8"?>
<sst xmlns="http://schemas.openxmlformats.org/spreadsheetml/2006/main" count="183" uniqueCount="151">
  <si>
    <t>CONCILIAÇÃO FINANCEIRA - GECOV</t>
  </si>
  <si>
    <t>MOVIMENTAÇÃO FINANCEIRA</t>
  </si>
  <si>
    <t>Convênio:</t>
  </si>
  <si>
    <t>650/2014</t>
  </si>
  <si>
    <t>Convenente:</t>
  </si>
  <si>
    <t>SERRA DA SAUDADE</t>
  </si>
  <si>
    <t>Vigência:</t>
  </si>
  <si>
    <t>CC:</t>
  </si>
  <si>
    <t>Data</t>
  </si>
  <si>
    <t>Item</t>
  </si>
  <si>
    <t>Entrada</t>
  </si>
  <si>
    <t>Saída</t>
  </si>
  <si>
    <t>Saldo</t>
  </si>
  <si>
    <t>Aplicação</t>
  </si>
  <si>
    <t>Resgate</t>
  </si>
  <si>
    <t>Rendimentos</t>
  </si>
  <si>
    <t>Tarifa Paga</t>
  </si>
  <si>
    <t>Tarifa Devolvida</t>
  </si>
  <si>
    <t>Tarifa a Devolver</t>
  </si>
  <si>
    <t>TOTAL</t>
  </si>
  <si>
    <t>CONTRATO EMPRESA:</t>
  </si>
  <si>
    <t>NF FLS</t>
  </si>
  <si>
    <t>NE</t>
  </si>
  <si>
    <t>NF</t>
  </si>
  <si>
    <t>DATA</t>
  </si>
  <si>
    <t>VALOR BRUTO</t>
  </si>
  <si>
    <t>INSS</t>
  </si>
  <si>
    <t>IR</t>
  </si>
  <si>
    <t>ISS</t>
  </si>
  <si>
    <t>LÍQUIDO</t>
  </si>
  <si>
    <t>DATA PG</t>
  </si>
  <si>
    <t>ISS FLS</t>
  </si>
  <si>
    <t>INSS FLS</t>
  </si>
  <si>
    <t>INEXECUÇÃO</t>
  </si>
  <si>
    <t>VR. REPASSADO</t>
  </si>
  <si>
    <t>%</t>
  </si>
  <si>
    <t>Dados básicos da correção pela Selic</t>
  </si>
  <si>
    <t>CONCEDENTE</t>
  </si>
  <si>
    <t>CONVENENTE</t>
  </si>
  <si>
    <t>VR. DATA DEVOLUÇÃO</t>
  </si>
  <si>
    <t>Proporcionalidade</t>
  </si>
  <si>
    <t>SALDO CV</t>
  </si>
  <si>
    <t>RENDIMENTO</t>
  </si>
  <si>
    <t>REND NÃO APLIC</t>
  </si>
  <si>
    <t>REND TARIFA</t>
  </si>
  <si>
    <t>NOTA TÉCNICA</t>
  </si>
  <si>
    <t>REND. NT</t>
  </si>
  <si>
    <t>ATRASO DEV.</t>
  </si>
  <si>
    <t>Devolvido</t>
  </si>
  <si>
    <t>Dev. Maior/Menor</t>
  </si>
  <si>
    <t>CONCEDENTE - %</t>
  </si>
  <si>
    <t>CONVENENTE - %</t>
  </si>
  <si>
    <t>CÁLCULO DO VALOR NÃO APLICADO - INEXECUÇÃO</t>
  </si>
  <si>
    <t xml:space="preserve">ATUALIZAÇÃO </t>
  </si>
  <si>
    <t>Histórico</t>
  </si>
  <si>
    <t>Data Inicial</t>
  </si>
  <si>
    <t>Data da aplicação ou interrupção</t>
  </si>
  <si>
    <t>Valor não aplicado</t>
  </si>
  <si>
    <t>Dias não aplicado</t>
  </si>
  <si>
    <t>SELIC</t>
  </si>
  <si>
    <t xml:space="preserve">Valor percentual da calculadora cidadão </t>
  </si>
  <si>
    <t>Valor do rendimento se tivesse sido aplicado (Dano)</t>
  </si>
  <si>
    <t xml:space="preserve">Referencia: SELIC </t>
  </si>
  <si>
    <t xml:space="preserve">Valor calculado </t>
  </si>
  <si>
    <t>Valor atualizado</t>
  </si>
  <si>
    <t>1º Repasse</t>
  </si>
  <si>
    <t>2º Repasse</t>
  </si>
  <si>
    <t>1º Contrap</t>
  </si>
  <si>
    <t>2ª Contrap</t>
  </si>
  <si>
    <t>Saldo conta</t>
  </si>
  <si>
    <t>TOTAL NÃO APLICADO</t>
  </si>
  <si>
    <t>TARIFA BANCÁRIA</t>
  </si>
  <si>
    <r>
      <t>Data da aplicação</t>
    </r>
    <r>
      <rPr>
        <b/>
        <sz val="10"/>
        <color rgb="FFFF0000"/>
        <rFont val="Times New Roman"/>
        <family val="1"/>
      </rPr>
      <t xml:space="preserve"> (DATA DEVOLUÇÃO)</t>
    </r>
  </si>
  <si>
    <t>POUP ou CDI</t>
  </si>
  <si>
    <t xml:space="preserve">TARIFA  </t>
  </si>
  <si>
    <t>VR. TARIFA BANCÁRIA</t>
  </si>
  <si>
    <t>ATUALIZAÇÃO</t>
  </si>
  <si>
    <t>Nota Fiscal</t>
  </si>
  <si>
    <t>Data Inicial - (emissão NF)</t>
  </si>
  <si>
    <r>
      <t xml:space="preserve">Data da aplicação </t>
    </r>
    <r>
      <rPr>
        <b/>
        <sz val="10"/>
        <color rgb="FFFF0000"/>
        <rFont val="Times New Roman"/>
        <family val="1"/>
      </rPr>
      <t>(DATA DEVOLUÇÃO)</t>
    </r>
  </si>
  <si>
    <t>1ª Medição</t>
  </si>
  <si>
    <t>2ª Medição</t>
  </si>
  <si>
    <t>VR. NOTA TÉCNICA</t>
  </si>
  <si>
    <t>DEVOLUÇÃO ATRASO - SELIC</t>
  </si>
  <si>
    <t>Data: 31/12/2014</t>
  </si>
  <si>
    <t>Vr Extrato</t>
  </si>
  <si>
    <t>31/12/14 A 02/02/15</t>
  </si>
  <si>
    <t>Atualização</t>
  </si>
  <si>
    <t>Vr. Dev. Atualizado</t>
  </si>
  <si>
    <t>Data: 02/02/2015</t>
  </si>
  <si>
    <t>Vr. Devolvido</t>
  </si>
  <si>
    <t>Atualização apurada</t>
  </si>
  <si>
    <t>onde irá extrair informações para a planilha GECON.</t>
  </si>
  <si>
    <t>DEMONSTRATIVO FINANCEIRO (DF)</t>
  </si>
  <si>
    <t>Receitas</t>
  </si>
  <si>
    <t>Valor</t>
  </si>
  <si>
    <t>Repasse MGI</t>
  </si>
  <si>
    <t>(+) Rendimento SELIC até xx/xx/xx</t>
  </si>
  <si>
    <t>(=) Valor a Devolver em xx/xx/xx</t>
  </si>
  <si>
    <t>(-) Devolução à MGI em xx/xx/xx</t>
  </si>
  <si>
    <t>Saldo em xx/xx/xx</t>
  </si>
  <si>
    <t>(+) Atualização de saldo - Valor Presente SELIC xx/xx/xx</t>
  </si>
  <si>
    <t>(=) Cobrança Valor Presente</t>
  </si>
  <si>
    <t>Informações Financeiras do Convênio - GECON</t>
  </si>
  <si>
    <t>Convenente</t>
  </si>
  <si>
    <t>Nº do Convênio</t>
  </si>
  <si>
    <t>Participantes</t>
  </si>
  <si>
    <t>Valor Repassado</t>
  </si>
  <si>
    <t>Participação %</t>
  </si>
  <si>
    <t>Despesa Realizada</t>
  </si>
  <si>
    <t>Rendimento</t>
  </si>
  <si>
    <t>Rendimento Selic</t>
  </si>
  <si>
    <t>Devolução realizada (I)</t>
  </si>
  <si>
    <t xml:space="preserve">Devolução devida em função da proporcionalidade dos recursos (II) </t>
  </si>
  <si>
    <t>Saldo a devolver/(receber) para o convenente (III) = (I) - (II) - (IV)</t>
  </si>
  <si>
    <t>Principal</t>
  </si>
  <si>
    <t>Total</t>
  </si>
  <si>
    <t>MGI</t>
  </si>
  <si>
    <t>Municipio</t>
  </si>
  <si>
    <t>Informações Financeiras do Convênio</t>
  </si>
  <si>
    <t>Valor repassado ao convenente</t>
  </si>
  <si>
    <t>Contrapartida</t>
  </si>
  <si>
    <t>Quadro I</t>
  </si>
  <si>
    <t>Despesa realizada</t>
  </si>
  <si>
    <t>Devolução realizada pelo Convenente</t>
  </si>
  <si>
    <t>Despesa não autorizada (IV)</t>
  </si>
  <si>
    <t>DAE - recurso transferido para MGI</t>
  </si>
  <si>
    <t>Tarifas Bancarias Indevidas (IV)*</t>
  </si>
  <si>
    <t>DAE - recurso com EMG</t>
  </si>
  <si>
    <t>Rendimento do repasse</t>
  </si>
  <si>
    <t>Recurso Transferido direto para MGI</t>
  </si>
  <si>
    <t>¬ Recurso Devolvido</t>
  </si>
  <si>
    <t>Devolução Realizada pelo Convenente (Quadro I )</t>
  </si>
  <si>
    <t xml:space="preserve">* apenas tarifas não estornadas ou não devolvidas à conta do Convênio </t>
  </si>
  <si>
    <t>Contabilizações</t>
  </si>
  <si>
    <t>Receita de rendimentos sobre aplicações na convenente</t>
  </si>
  <si>
    <t xml:space="preserve">Baixa de Obrigações por Repasse </t>
  </si>
  <si>
    <t>Preencher apenas as abas em amarelo</t>
  </si>
  <si>
    <t>Baixa Contábil - Redução do capital integralizado - mediante aprovação do CA (1)</t>
  </si>
  <si>
    <t>(1)Repasse realizado - Parte Concedente</t>
  </si>
  <si>
    <t>Destinação dos recursos devolvidos</t>
  </si>
  <si>
    <t>Devolução ao Estado de MG</t>
  </si>
  <si>
    <t>Despesa Proporcional</t>
  </si>
  <si>
    <t>Recursos remanescentes da transação - Devolução devida (II)</t>
  </si>
  <si>
    <t>Rendimento Proporcional</t>
  </si>
  <si>
    <t>Devolução recebida a maior - pgto para convenente (III)</t>
  </si>
  <si>
    <t>Devolução recebida a menor - receber do convenente (III)</t>
  </si>
  <si>
    <t>Despesa não autorizada</t>
  </si>
  <si>
    <t>Recursos remanescentes da transação - Devolução realizada (I)</t>
  </si>
  <si>
    <t>Devolução</t>
  </si>
  <si>
    <t>Saldo a( Devolver) ou Receber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</si>
</sst>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.00;\-&quot;R$&quot;#,##0.00"/>
    <numFmt numFmtId="165" formatCode="&quot;R$&quot;#,##0.00;[Red]\-&quot;R$&quot;#,##0.00"/>
    <numFmt numFmtId="166" formatCode="_-&quot;R$&quot;* #,##0.00_-;\-&quot;R$&quot;* #,##0.00_-;_-&quot;R$&quot;* &quot;-&quot;??_-;_-@_-"/>
    <numFmt numFmtId="167" formatCode="&quot;R$&quot;\ #,##0.00"/>
    <numFmt numFmtId="168" formatCode="&quot;R$&quot;#,##0.00"/>
    <numFmt numFmtId="169" formatCode="dd/mm/yy;@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FFFFFF"/>
      <name val="Times New Roman"/>
      <family val="1"/>
    </font>
    <font>
      <sz val="11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BFBFBF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FFFFFF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1">
    <xf numFmtId="0" fontId="0" fillId="0" borderId="0" xfId="0"/>
    <xf numFmtId="0" fontId="4" fillId="0" borderId="0" xfId="0" applyFont="1"/>
    <xf numFmtId="0" fontId="4" fillId="2" borderId="0" xfId="0" applyFont="1" applyFill="1"/>
    <xf numFmtId="0" fontId="5" fillId="0" borderId="0" xfId="0" applyFont="1"/>
    <xf numFmtId="43" fontId="5" fillId="0" borderId="11" xfId="0" applyNumberFormat="1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43" fontId="5" fillId="2" borderId="13" xfId="0" applyNumberFormat="1" applyFont="1" applyFill="1" applyBorder="1"/>
    <xf numFmtId="0" fontId="5" fillId="2" borderId="14" xfId="0" applyFont="1" applyFill="1" applyBorder="1"/>
    <xf numFmtId="0" fontId="5" fillId="2" borderId="13" xfId="0" applyFont="1" applyFill="1" applyBorder="1"/>
    <xf numFmtId="43" fontId="5" fillId="7" borderId="11" xfId="0" applyNumberFormat="1" applyFont="1" applyFill="1" applyBorder="1"/>
    <xf numFmtId="43" fontId="4" fillId="0" borderId="13" xfId="0" applyNumberFormat="1" applyFont="1" applyBorder="1"/>
    <xf numFmtId="43" fontId="4" fillId="2" borderId="0" xfId="0" applyNumberFormat="1" applyFont="1" applyFill="1"/>
    <xf numFmtId="43" fontId="4" fillId="0" borderId="13" xfId="3" applyFont="1" applyBorder="1"/>
    <xf numFmtId="43" fontId="5" fillId="7" borderId="13" xfId="0" applyNumberFormat="1" applyFont="1" applyFill="1" applyBorder="1"/>
    <xf numFmtId="43" fontId="4" fillId="0" borderId="0" xfId="0" applyNumberFormat="1" applyFont="1"/>
    <xf numFmtId="43" fontId="5" fillId="2" borderId="16" xfId="3" applyFont="1" applyFill="1" applyBorder="1"/>
    <xf numFmtId="0" fontId="5" fillId="2" borderId="17" xfId="0" applyFont="1" applyFill="1" applyBorder="1"/>
    <xf numFmtId="0" fontId="4" fillId="8" borderId="16" xfId="0" applyFont="1" applyFill="1" applyBorder="1"/>
    <xf numFmtId="43" fontId="5" fillId="2" borderId="0" xfId="0" applyNumberFormat="1" applyFont="1" applyFill="1"/>
    <xf numFmtId="43" fontId="5" fillId="3" borderId="10" xfId="0" applyNumberFormat="1" applyFont="1" applyFill="1" applyBorder="1"/>
    <xf numFmtId="0" fontId="6" fillId="5" borderId="0" xfId="0" applyFont="1" applyFill="1"/>
    <xf numFmtId="43" fontId="5" fillId="2" borderId="10" xfId="0" applyNumberFormat="1" applyFont="1" applyFill="1" applyBorder="1"/>
    <xf numFmtId="43" fontId="4" fillId="2" borderId="7" xfId="0" applyNumberFormat="1" applyFont="1" applyFill="1" applyBorder="1"/>
    <xf numFmtId="0" fontId="4" fillId="9" borderId="2" xfId="0" applyFont="1" applyFill="1" applyBorder="1"/>
    <xf numFmtId="0" fontId="7" fillId="2" borderId="0" xfId="0" applyFont="1" applyFill="1"/>
    <xf numFmtId="43" fontId="4" fillId="0" borderId="11" xfId="0" applyNumberFormat="1" applyFont="1" applyBorder="1"/>
    <xf numFmtId="0" fontId="4" fillId="2" borderId="15" xfId="0" applyFont="1" applyFill="1" applyBorder="1"/>
    <xf numFmtId="0" fontId="4" fillId="2" borderId="12" xfId="0" applyFont="1" applyFill="1" applyBorder="1"/>
    <xf numFmtId="43" fontId="4" fillId="2" borderId="1" xfId="3" applyFont="1" applyFill="1" applyBorder="1"/>
    <xf numFmtId="0" fontId="4" fillId="2" borderId="14" xfId="0" applyFont="1" applyFill="1" applyBorder="1"/>
    <xf numFmtId="43" fontId="4" fillId="2" borderId="13" xfId="0" applyNumberFormat="1" applyFont="1" applyFill="1" applyBorder="1"/>
    <xf numFmtId="0" fontId="8" fillId="2" borderId="0" xfId="0" applyFont="1" applyFill="1"/>
    <xf numFmtId="43" fontId="8" fillId="10" borderId="19" xfId="0" applyNumberFormat="1" applyFont="1" applyFill="1" applyBorder="1"/>
    <xf numFmtId="0" fontId="8" fillId="10" borderId="20" xfId="0" applyFont="1" applyFill="1" applyBorder="1"/>
    <xf numFmtId="0" fontId="9" fillId="10" borderId="21" xfId="0" applyFont="1" applyFill="1" applyBorder="1"/>
    <xf numFmtId="0" fontId="5" fillId="2" borderId="0" xfId="0" applyFont="1" applyFill="1"/>
    <xf numFmtId="43" fontId="4" fillId="2" borderId="0" xfId="3" applyFont="1" applyFill="1"/>
    <xf numFmtId="43" fontId="4" fillId="0" borderId="1" xfId="0" applyNumberFormat="1" applyFont="1" applyBorder="1"/>
    <xf numFmtId="43" fontId="4" fillId="11" borderId="1" xfId="3" applyFont="1" applyFill="1" applyBorder="1"/>
    <xf numFmtId="43" fontId="4" fillId="11" borderId="1" xfId="0" applyNumberFormat="1" applyFont="1" applyFill="1" applyBorder="1"/>
    <xf numFmtId="43" fontId="4" fillId="0" borderId="1" xfId="3" applyFont="1" applyBorder="1"/>
    <xf numFmtId="0" fontId="4" fillId="0" borderId="1" xfId="0" applyFont="1" applyBorder="1"/>
    <xf numFmtId="43" fontId="4" fillId="6" borderId="1" xfId="0" applyNumberFormat="1" applyFont="1" applyFill="1" applyBorder="1"/>
    <xf numFmtId="43" fontId="4" fillId="6" borderId="1" xfId="3" applyFont="1" applyFill="1" applyBorder="1"/>
    <xf numFmtId="2" fontId="4" fillId="0" borderId="1" xfId="0" applyNumberFormat="1" applyFont="1" applyBorder="1"/>
    <xf numFmtId="0" fontId="5" fillId="3" borderId="1" xfId="0" applyFont="1" applyFill="1" applyBorder="1" applyAlignment="1">
      <alignment wrapText="1"/>
    </xf>
    <xf numFmtId="0" fontId="10" fillId="2" borderId="1" xfId="0" applyFont="1" applyFill="1" applyBorder="1"/>
    <xf numFmtId="0" fontId="11" fillId="2" borderId="1" xfId="0" applyFont="1" applyFill="1" applyBorder="1"/>
    <xf numFmtId="0" fontId="11" fillId="2" borderId="1" xfId="0" applyFont="1" applyFill="1" applyBorder="1" applyAlignment="1">
      <alignment horizontal="center" wrapText="1"/>
    </xf>
    <xf numFmtId="43" fontId="4" fillId="0" borderId="1" xfId="3" applyFont="1" applyFill="1" applyBorder="1" applyProtection="1"/>
    <xf numFmtId="43" fontId="4" fillId="0" borderId="1" xfId="3" applyFont="1" applyFill="1" applyBorder="1"/>
    <xf numFmtId="43" fontId="4" fillId="5" borderId="13" xfId="0" applyNumberFormat="1" applyFont="1" applyFill="1" applyBorder="1" applyAlignment="1" applyProtection="1">
      <alignment horizontal="right"/>
      <protection locked="0"/>
    </xf>
    <xf numFmtId="43" fontId="4" fillId="5" borderId="13" xfId="0" applyNumberFormat="1" applyFont="1" applyFill="1" applyBorder="1" applyProtection="1">
      <protection locked="0"/>
    </xf>
    <xf numFmtId="0" fontId="5" fillId="0" borderId="5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10" fillId="2" borderId="0" xfId="0" applyFont="1" applyFill="1" applyAlignment="1">
      <alignment horizontal="center" wrapText="1"/>
    </xf>
    <xf numFmtId="164" fontId="4" fillId="0" borderId="1" xfId="3" applyNumberFormat="1" applyFont="1" applyFill="1" applyBorder="1" applyProtection="1"/>
    <xf numFmtId="0" fontId="14" fillId="0" borderId="33" xfId="0" applyFont="1" applyBorder="1" applyAlignment="1">
      <alignment horizontal="center" vertical="center"/>
    </xf>
    <xf numFmtId="0" fontId="15" fillId="2" borderId="1" xfId="0" applyFont="1" applyFill="1" applyBorder="1" applyAlignment="1" applyProtection="1">
      <alignment horizontal="center" vertical="center" wrapText="1"/>
      <protection locked="0"/>
    </xf>
    <xf numFmtId="10" fontId="15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5" fillId="2" borderId="4" xfId="0" applyFont="1" applyFill="1" applyBorder="1" applyAlignment="1" applyProtection="1">
      <alignment horizontal="center" vertical="center" wrapText="1"/>
      <protection locked="0"/>
    </xf>
    <xf numFmtId="0" fontId="15" fillId="2" borderId="34" xfId="0" applyFont="1" applyFill="1" applyBorder="1" applyAlignment="1" applyProtection="1">
      <alignment horizontal="center" vertical="center" wrapText="1"/>
      <protection locked="0"/>
    </xf>
    <xf numFmtId="0" fontId="16" fillId="0" borderId="33" xfId="0" applyFont="1" applyBorder="1"/>
    <xf numFmtId="14" fontId="17" fillId="2" borderId="1" xfId="0" applyNumberFormat="1" applyFont="1" applyFill="1" applyBorder="1" applyAlignment="1" applyProtection="1">
      <alignment horizontal="center" vertical="center"/>
      <protection locked="0"/>
    </xf>
    <xf numFmtId="44" fontId="17" fillId="2" borderId="1" xfId="1" applyFont="1" applyFill="1" applyBorder="1" applyAlignment="1" applyProtection="1">
      <alignment horizontal="right" vertical="center"/>
      <protection locked="0"/>
    </xf>
    <xf numFmtId="1" fontId="17" fillId="2" borderId="1" xfId="0" applyNumberFormat="1" applyFont="1" applyFill="1" applyBorder="1" applyAlignment="1">
      <alignment horizontal="center" vertical="center"/>
    </xf>
    <xf numFmtId="10" fontId="18" fillId="0" borderId="1" xfId="0" applyNumberFormat="1" applyFont="1" applyBorder="1"/>
    <xf numFmtId="8" fontId="17" fillId="2" borderId="35" xfId="4" applyNumberFormat="1" applyFont="1" applyFill="1" applyBorder="1" applyAlignment="1" applyProtection="1">
      <alignment horizontal="center" vertical="center"/>
    </xf>
    <xf numFmtId="1" fontId="17" fillId="2" borderId="3" xfId="0" applyNumberFormat="1" applyFont="1" applyFill="1" applyBorder="1" applyAlignment="1">
      <alignment horizontal="center" vertical="center"/>
    </xf>
    <xf numFmtId="0" fontId="16" fillId="0" borderId="0" xfId="0" applyFont="1"/>
    <xf numFmtId="0" fontId="14" fillId="4" borderId="0" xfId="0" applyFont="1" applyFill="1"/>
    <xf numFmtId="0" fontId="16" fillId="4" borderId="0" xfId="0" applyFont="1" applyFill="1"/>
    <xf numFmtId="43" fontId="16" fillId="0" borderId="0" xfId="3" applyFont="1"/>
    <xf numFmtId="14" fontId="14" fillId="4" borderId="0" xfId="0" applyNumberFormat="1" applyFont="1" applyFill="1"/>
    <xf numFmtId="0" fontId="14" fillId="3" borderId="0" xfId="0" applyFont="1" applyFill="1"/>
    <xf numFmtId="0" fontId="14" fillId="3" borderId="8" xfId="0" applyFont="1" applyFill="1" applyBorder="1"/>
    <xf numFmtId="167" fontId="14" fillId="3" borderId="8" xfId="0" applyNumberFormat="1" applyFont="1" applyFill="1" applyBorder="1"/>
    <xf numFmtId="167" fontId="14" fillId="3" borderId="0" xfId="0" applyNumberFormat="1" applyFont="1" applyFill="1"/>
    <xf numFmtId="14" fontId="16" fillId="5" borderId="0" xfId="0" applyNumberFormat="1" applyFont="1" applyFill="1" applyProtection="1">
      <protection locked="0"/>
    </xf>
    <xf numFmtId="0" fontId="16" fillId="5" borderId="0" xfId="0" applyFont="1" applyFill="1" applyProtection="1">
      <protection locked="0"/>
    </xf>
    <xf numFmtId="167" fontId="16" fillId="5" borderId="0" xfId="0" applyNumberFormat="1" applyFont="1" applyFill="1" applyProtection="1">
      <protection locked="0"/>
    </xf>
    <xf numFmtId="167" fontId="16" fillId="4" borderId="8" xfId="0" applyNumberFormat="1" applyFont="1" applyFill="1" applyBorder="1"/>
    <xf numFmtId="167" fontId="16" fillId="4" borderId="0" xfId="0" applyNumberFormat="1" applyFont="1" applyFill="1"/>
    <xf numFmtId="167" fontId="16" fillId="0" borderId="0" xfId="0" applyNumberFormat="1" applyFont="1"/>
    <xf numFmtId="0" fontId="16" fillId="4" borderId="8" xfId="0" applyFont="1" applyFill="1" applyBorder="1"/>
    <xf numFmtId="43" fontId="16" fillId="0" borderId="0" xfId="0" applyNumberFormat="1" applyFont="1"/>
    <xf numFmtId="14" fontId="14" fillId="3" borderId="0" xfId="0" applyNumberFormat="1" applyFont="1" applyFill="1"/>
    <xf numFmtId="167" fontId="16" fillId="3" borderId="0" xfId="0" applyNumberFormat="1" applyFont="1" applyFill="1"/>
    <xf numFmtId="0" fontId="14" fillId="0" borderId="0" xfId="0" applyFont="1"/>
    <xf numFmtId="168" fontId="16" fillId="0" borderId="0" xfId="0" applyNumberFormat="1" applyFont="1"/>
    <xf numFmtId="0" fontId="14" fillId="0" borderId="0" xfId="0" applyFont="1" applyAlignment="1">
      <alignment horizontal="center"/>
    </xf>
    <xf numFmtId="0" fontId="14" fillId="0" borderId="1" xfId="0" applyFont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/>
    </xf>
    <xf numFmtId="169" fontId="16" fillId="0" borderId="1" xfId="0" applyNumberFormat="1" applyFont="1" applyBorder="1" applyAlignment="1">
      <alignment horizontal="center"/>
    </xf>
    <xf numFmtId="4" fontId="16" fillId="2" borderId="1" xfId="0" applyNumberFormat="1" applyFont="1" applyFill="1" applyBorder="1"/>
    <xf numFmtId="0" fontId="16" fillId="0" borderId="0" xfId="0" applyFont="1" applyAlignment="1">
      <alignment horizontal="center"/>
    </xf>
    <xf numFmtId="49" fontId="16" fillId="0" borderId="0" xfId="0" applyNumberFormat="1" applyFont="1" applyAlignment="1">
      <alignment horizontal="center"/>
    </xf>
    <xf numFmtId="169" fontId="16" fillId="0" borderId="0" xfId="0" applyNumberFormat="1" applyFont="1" applyAlignment="1">
      <alignment horizontal="center"/>
    </xf>
    <xf numFmtId="4" fontId="14" fillId="0" borderId="1" xfId="0" applyNumberFormat="1" applyFont="1" applyBorder="1"/>
    <xf numFmtId="4" fontId="16" fillId="0" borderId="0" xfId="0" applyNumberFormat="1" applyFont="1"/>
    <xf numFmtId="4" fontId="20" fillId="0" borderId="0" xfId="0" applyNumberFormat="1" applyFont="1"/>
    <xf numFmtId="44" fontId="16" fillId="0" borderId="1" xfId="1" applyFont="1" applyBorder="1"/>
    <xf numFmtId="10" fontId="16" fillId="0" borderId="1" xfId="2" applyNumberFormat="1" applyFont="1" applyBorder="1" applyAlignment="1">
      <alignment horizontal="center"/>
    </xf>
    <xf numFmtId="14" fontId="23" fillId="0" borderId="0" xfId="0" applyNumberFormat="1" applyFont="1" applyAlignment="1">
      <alignment vertical="center"/>
    </xf>
    <xf numFmtId="44" fontId="16" fillId="0" borderId="0" xfId="1" applyFont="1" applyBorder="1"/>
    <xf numFmtId="0" fontId="23" fillId="0" borderId="0" xfId="0" applyFont="1" applyAlignment="1">
      <alignment vertical="center"/>
    </xf>
    <xf numFmtId="10" fontId="18" fillId="0" borderId="0" xfId="0" applyNumberFormat="1" applyFont="1"/>
    <xf numFmtId="0" fontId="21" fillId="0" borderId="0" xfId="0" applyFont="1" applyAlignment="1">
      <alignment vertical="center"/>
    </xf>
    <xf numFmtId="44" fontId="14" fillId="0" borderId="0" xfId="1" applyFont="1" applyBorder="1"/>
    <xf numFmtId="168" fontId="14" fillId="0" borderId="0" xfId="0" applyNumberFormat="1" applyFont="1" applyAlignment="1">
      <alignment horizontal="center"/>
    </xf>
    <xf numFmtId="0" fontId="14" fillId="0" borderId="1" xfId="0" applyFont="1" applyBorder="1"/>
    <xf numFmtId="0" fontId="19" fillId="0" borderId="0" xfId="0" applyFont="1" applyAlignment="1">
      <alignment vertical="center" wrapText="1"/>
    </xf>
    <xf numFmtId="168" fontId="16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3" fillId="2" borderId="0" xfId="0" applyFont="1" applyFill="1"/>
    <xf numFmtId="0" fontId="15" fillId="2" borderId="0" xfId="0" applyFont="1" applyFill="1" applyAlignment="1" applyProtection="1">
      <alignment horizontal="center" vertical="center" wrapText="1"/>
      <protection locked="0"/>
    </xf>
    <xf numFmtId="8" fontId="17" fillId="2" borderId="0" xfId="4" applyNumberFormat="1" applyFont="1" applyFill="1" applyBorder="1" applyAlignment="1" applyProtection="1">
      <alignment horizontal="center" vertical="center"/>
    </xf>
    <xf numFmtId="8" fontId="14" fillId="0" borderId="0" xfId="0" applyNumberFormat="1" applyFont="1"/>
    <xf numFmtId="0" fontId="15" fillId="2" borderId="35" xfId="0" applyFont="1" applyFill="1" applyBorder="1" applyAlignment="1" applyProtection="1">
      <alignment horizontal="center" vertical="center" wrapText="1"/>
      <protection locked="0"/>
    </xf>
    <xf numFmtId="8" fontId="19" fillId="2" borderId="35" xfId="4" applyNumberFormat="1" applyFont="1" applyFill="1" applyBorder="1" applyAlignment="1" applyProtection="1">
      <alignment horizontal="center" vertical="center"/>
    </xf>
    <xf numFmtId="8" fontId="19" fillId="2" borderId="42" xfId="4" applyNumberFormat="1" applyFont="1" applyFill="1" applyBorder="1" applyAlignment="1" applyProtection="1">
      <alignment horizontal="center" vertical="center"/>
    </xf>
    <xf numFmtId="44" fontId="14" fillId="0" borderId="22" xfId="0" applyNumberFormat="1" applyFont="1" applyBorder="1"/>
    <xf numFmtId="8" fontId="14" fillId="0" borderId="43" xfId="0" applyNumberFormat="1" applyFont="1" applyBorder="1"/>
    <xf numFmtId="0" fontId="16" fillId="0" borderId="33" xfId="0" applyFont="1" applyBorder="1" applyAlignment="1">
      <alignment vertical="center"/>
    </xf>
    <xf numFmtId="8" fontId="14" fillId="0" borderId="47" xfId="0" applyNumberFormat="1" applyFont="1" applyBorder="1"/>
    <xf numFmtId="0" fontId="16" fillId="0" borderId="14" xfId="0" applyFont="1" applyBorder="1"/>
    <xf numFmtId="168" fontId="16" fillId="0" borderId="13" xfId="0" applyNumberFormat="1" applyFont="1" applyBorder="1"/>
    <xf numFmtId="168" fontId="16" fillId="0" borderId="11" xfId="0" applyNumberFormat="1" applyFont="1" applyBorder="1"/>
    <xf numFmtId="0" fontId="14" fillId="0" borderId="6" xfId="0" applyFont="1" applyBorder="1" applyAlignment="1">
      <alignment horizontal="center"/>
    </xf>
    <xf numFmtId="0" fontId="14" fillId="0" borderId="44" xfId="0" applyFont="1" applyBorder="1" applyAlignment="1">
      <alignment horizontal="center"/>
    </xf>
    <xf numFmtId="168" fontId="14" fillId="0" borderId="45" xfId="0" applyNumberFormat="1" applyFont="1" applyBorder="1" applyAlignment="1">
      <alignment horizontal="center"/>
    </xf>
    <xf numFmtId="0" fontId="14" fillId="0" borderId="45" xfId="0" applyFont="1" applyBorder="1" applyAlignment="1">
      <alignment horizontal="center"/>
    </xf>
    <xf numFmtId="0" fontId="14" fillId="0" borderId="46" xfId="0" applyFont="1" applyBorder="1" applyAlignment="1">
      <alignment horizontal="center"/>
    </xf>
    <xf numFmtId="0" fontId="23" fillId="0" borderId="33" xfId="0" applyFont="1" applyBorder="1" applyAlignment="1">
      <alignment vertical="center"/>
    </xf>
    <xf numFmtId="0" fontId="21" fillId="0" borderId="48" xfId="0" applyFont="1" applyBorder="1" applyAlignment="1">
      <alignment vertical="center"/>
    </xf>
    <xf numFmtId="9" fontId="16" fillId="0" borderId="45" xfId="2" applyFont="1" applyBorder="1" applyAlignment="1">
      <alignment horizontal="center"/>
    </xf>
    <xf numFmtId="44" fontId="14" fillId="0" borderId="22" xfId="1" applyFont="1" applyBorder="1"/>
    <xf numFmtId="10" fontId="14" fillId="0" borderId="22" xfId="0" applyNumberFormat="1" applyFont="1" applyBorder="1" applyAlignment="1">
      <alignment horizontal="center"/>
    </xf>
    <xf numFmtId="4" fontId="16" fillId="0" borderId="1" xfId="0" applyNumberFormat="1" applyFont="1" applyBorder="1"/>
    <xf numFmtId="4" fontId="16" fillId="0" borderId="35" xfId="0" applyNumberFormat="1" applyFont="1" applyBorder="1"/>
    <xf numFmtId="4" fontId="14" fillId="0" borderId="22" xfId="0" applyNumberFormat="1" applyFont="1" applyBorder="1"/>
    <xf numFmtId="4" fontId="14" fillId="0" borderId="47" xfId="0" applyNumberFormat="1" applyFont="1" applyBorder="1"/>
    <xf numFmtId="4" fontId="19" fillId="2" borderId="1" xfId="4" applyNumberFormat="1" applyFont="1" applyFill="1" applyBorder="1" applyAlignment="1" applyProtection="1">
      <alignment horizontal="center" vertical="center"/>
    </xf>
    <xf numFmtId="4" fontId="19" fillId="2" borderId="3" xfId="4" applyNumberFormat="1" applyFont="1" applyFill="1" applyBorder="1" applyAlignment="1" applyProtection="1">
      <alignment horizontal="center" vertical="center"/>
    </xf>
    <xf numFmtId="4" fontId="19" fillId="0" borderId="24" xfId="0" applyNumberFormat="1" applyFont="1" applyBorder="1" applyAlignment="1">
      <alignment horizontal="center" vertical="center"/>
    </xf>
    <xf numFmtId="165" fontId="17" fillId="2" borderId="1" xfId="4" applyNumberFormat="1" applyFont="1" applyFill="1" applyBorder="1" applyAlignment="1" applyProtection="1">
      <alignment horizontal="center" vertical="center"/>
    </xf>
    <xf numFmtId="165" fontId="17" fillId="2" borderId="35" xfId="4" applyNumberFormat="1" applyFont="1" applyFill="1" applyBorder="1" applyAlignment="1" applyProtection="1">
      <alignment horizontal="center" vertical="center"/>
    </xf>
    <xf numFmtId="165" fontId="19" fillId="0" borderId="27" xfId="4" applyNumberFormat="1" applyFont="1" applyFill="1" applyBorder="1" applyAlignment="1" applyProtection="1">
      <alignment horizontal="center" vertical="center"/>
    </xf>
    <xf numFmtId="168" fontId="14" fillId="0" borderId="11" xfId="0" applyNumberFormat="1" applyFont="1" applyBorder="1"/>
    <xf numFmtId="168" fontId="14" fillId="0" borderId="13" xfId="0" applyNumberFormat="1" applyFont="1" applyBorder="1"/>
    <xf numFmtId="164" fontId="14" fillId="0" borderId="0" xfId="1" applyNumberFormat="1" applyFont="1" applyBorder="1"/>
    <xf numFmtId="10" fontId="14" fillId="0" borderId="0" xfId="0" applyNumberFormat="1" applyFont="1" applyAlignment="1">
      <alignment horizontal="center"/>
    </xf>
    <xf numFmtId="0" fontId="14" fillId="0" borderId="0" xfId="1" applyNumberFormat="1" applyFont="1" applyBorder="1"/>
    <xf numFmtId="166" fontId="14" fillId="0" borderId="47" xfId="1" applyNumberFormat="1" applyFont="1" applyBorder="1"/>
    <xf numFmtId="166" fontId="16" fillId="0" borderId="35" xfId="1" applyNumberFormat="1" applyFont="1" applyBorder="1"/>
    <xf numFmtId="164" fontId="4" fillId="11" borderId="1" xfId="0" applyNumberFormat="1" applyFont="1" applyFill="1" applyBorder="1"/>
    <xf numFmtId="164" fontId="26" fillId="5" borderId="1" xfId="1" applyNumberFormat="1" applyFont="1" applyFill="1" applyBorder="1"/>
    <xf numFmtId="164" fontId="27" fillId="5" borderId="22" xfId="1" applyNumberFormat="1" applyFont="1" applyFill="1" applyBorder="1"/>
    <xf numFmtId="44" fontId="14" fillId="5" borderId="22" xfId="1" applyFont="1" applyFill="1" applyBorder="1"/>
    <xf numFmtId="4" fontId="14" fillId="5" borderId="22" xfId="0" applyNumberFormat="1" applyFont="1" applyFill="1" applyBorder="1"/>
    <xf numFmtId="4" fontId="16" fillId="5" borderId="1" xfId="0" applyNumberFormat="1" applyFont="1" applyFill="1" applyBorder="1"/>
    <xf numFmtId="4" fontId="16" fillId="5" borderId="6" xfId="0" applyNumberFormat="1" applyFont="1" applyFill="1" applyBorder="1"/>
    <xf numFmtId="0" fontId="16" fillId="5" borderId="49" xfId="0" applyFont="1" applyFill="1" applyBorder="1"/>
    <xf numFmtId="0" fontId="20" fillId="0" borderId="0" xfId="0" applyFont="1"/>
    <xf numFmtId="14" fontId="20" fillId="5" borderId="0" xfId="0" applyNumberFormat="1" applyFont="1" applyFill="1" applyProtection="1">
      <protection locked="0"/>
    </xf>
    <xf numFmtId="168" fontId="16" fillId="4" borderId="8" xfId="0" applyNumberFormat="1" applyFont="1" applyFill="1" applyBorder="1"/>
    <xf numFmtId="167" fontId="14" fillId="5" borderId="8" xfId="0" applyNumberFormat="1" applyFont="1" applyFill="1" applyBorder="1"/>
    <xf numFmtId="0" fontId="30" fillId="0" borderId="1" xfId="0" applyFont="1" applyBorder="1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29" fillId="0" borderId="1" xfId="0" applyFont="1" applyBorder="1" applyAlignment="1">
      <alignment horizontal="center" vertical="center" wrapText="1"/>
    </xf>
    <xf numFmtId="44" fontId="29" fillId="0" borderId="1" xfId="0" applyNumberFormat="1" applyFont="1" applyBorder="1" applyAlignment="1">
      <alignment horizontal="right" vertical="center" wrapText="1"/>
    </xf>
    <xf numFmtId="165" fontId="29" fillId="0" borderId="1" xfId="0" applyNumberFormat="1" applyFont="1" applyBorder="1" applyAlignment="1">
      <alignment horizontal="right" vertical="center" wrapText="1"/>
    </xf>
    <xf numFmtId="44" fontId="30" fillId="5" borderId="1" xfId="0" applyNumberFormat="1" applyFont="1" applyFill="1" applyBorder="1" applyAlignment="1">
      <alignment horizontal="right" vertical="center" wrapText="1"/>
    </xf>
    <xf numFmtId="165" fontId="30" fillId="5" borderId="1" xfId="0" applyNumberFormat="1" applyFont="1" applyFill="1" applyBorder="1" applyAlignment="1">
      <alignment horizontal="right" vertical="center" wrapText="1"/>
    </xf>
    <xf numFmtId="0" fontId="29" fillId="0" borderId="5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29" fillId="12" borderId="5" xfId="0" applyFont="1" applyFill="1" applyBorder="1" applyAlignment="1">
      <alignment horizontal="center" vertical="center" wrapText="1"/>
    </xf>
    <xf numFmtId="0" fontId="29" fillId="12" borderId="2" xfId="0" applyFont="1" applyFill="1" applyBorder="1" applyAlignment="1">
      <alignment horizontal="center" vertical="center" wrapText="1"/>
    </xf>
    <xf numFmtId="0" fontId="29" fillId="12" borderId="6" xfId="0" applyFont="1" applyFill="1" applyBorder="1" applyAlignment="1">
      <alignment horizontal="center" vertical="center" wrapText="1"/>
    </xf>
    <xf numFmtId="44" fontId="30" fillId="0" borderId="1" xfId="0" applyNumberFormat="1" applyFont="1" applyBorder="1" applyAlignment="1">
      <alignment horizontal="right" vertical="center" wrapText="1"/>
    </xf>
    <xf numFmtId="165" fontId="30" fillId="0" borderId="1" xfId="0" applyNumberFormat="1" applyFont="1" applyBorder="1" applyAlignment="1">
      <alignment horizontal="right" vertical="center" wrapText="1"/>
    </xf>
    <xf numFmtId="0" fontId="14" fillId="0" borderId="12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3" fillId="2" borderId="44" xfId="0" applyFont="1" applyFill="1" applyBorder="1" applyAlignment="1">
      <alignment horizontal="center"/>
    </xf>
    <xf numFmtId="0" fontId="13" fillId="2" borderId="45" xfId="0" applyFont="1" applyFill="1" applyBorder="1" applyAlignment="1">
      <alignment horizontal="center"/>
    </xf>
    <xf numFmtId="0" fontId="13" fillId="2" borderId="46" xfId="0" applyFont="1" applyFill="1" applyBorder="1" applyAlignment="1">
      <alignment horizontal="center"/>
    </xf>
    <xf numFmtId="0" fontId="14" fillId="0" borderId="36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38" xfId="0" applyFont="1" applyBorder="1" applyAlignment="1">
      <alignment horizontal="center"/>
    </xf>
    <xf numFmtId="0" fontId="16" fillId="0" borderId="39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13" fillId="2" borderId="32" xfId="0" applyFont="1" applyFill="1" applyBorder="1" applyAlignment="1">
      <alignment horizontal="center"/>
    </xf>
    <xf numFmtId="0" fontId="22" fillId="0" borderId="23" xfId="0" applyFont="1" applyBorder="1" applyAlignment="1">
      <alignment horizontal="left" vertical="center"/>
    </xf>
    <xf numFmtId="0" fontId="14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3" fillId="2" borderId="30" xfId="0" applyFont="1" applyFill="1" applyBorder="1" applyAlignment="1">
      <alignment horizontal="center"/>
    </xf>
    <xf numFmtId="0" fontId="14" fillId="4" borderId="0" xfId="0" applyFont="1" applyFill="1" applyAlignment="1">
      <alignment horizontal="left"/>
    </xf>
    <xf numFmtId="0" fontId="14" fillId="5" borderId="0" xfId="0" applyFont="1" applyFill="1" applyAlignment="1">
      <alignment horizontal="left"/>
    </xf>
    <xf numFmtId="0" fontId="24" fillId="3" borderId="0" xfId="0" applyFont="1" applyFill="1" applyAlignment="1">
      <alignment horizontal="center"/>
    </xf>
    <xf numFmtId="0" fontId="13" fillId="2" borderId="31" xfId="0" applyFont="1" applyFill="1" applyBorder="1" applyAlignment="1">
      <alignment horizontal="center"/>
    </xf>
    <xf numFmtId="0" fontId="21" fillId="0" borderId="44" xfId="0" applyFont="1" applyBorder="1" applyAlignment="1">
      <alignment horizontal="center" vertical="center"/>
    </xf>
    <xf numFmtId="0" fontId="21" fillId="0" borderId="45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5" fillId="9" borderId="0" xfId="0" applyFont="1" applyFill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10" fillId="2" borderId="0" xfId="0" applyFont="1" applyFill="1" applyAlignment="1">
      <alignment horizontal="center" wrapText="1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10" fillId="2" borderId="10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left"/>
    </xf>
    <xf numFmtId="0" fontId="5" fillId="9" borderId="2" xfId="0" applyFont="1" applyFill="1" applyBorder="1" applyAlignment="1">
      <alignment horizontal="left"/>
    </xf>
    <xf numFmtId="0" fontId="4" fillId="2" borderId="0" xfId="0" applyFont="1" applyFill="1" applyAlignment="1">
      <alignment horizontal="left" wrapText="1"/>
    </xf>
    <xf numFmtId="0" fontId="5" fillId="0" borderId="5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2" borderId="0" xfId="0" applyFont="1" applyFill="1" applyAlignment="1">
      <alignment horizontal="left"/>
    </xf>
    <xf numFmtId="0" fontId="4" fillId="0" borderId="1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5" fillId="7" borderId="12" xfId="0" applyFont="1" applyFill="1" applyBorder="1" applyAlignment="1">
      <alignment horizontal="left" wrapText="1"/>
    </xf>
    <xf numFmtId="0" fontId="5" fillId="7" borderId="15" xfId="0" applyFont="1" applyFill="1" applyBorder="1" applyAlignment="1">
      <alignment horizontal="left" wrapText="1"/>
    </xf>
    <xf numFmtId="0" fontId="5" fillId="3" borderId="0" xfId="0" applyFont="1" applyFill="1" applyAlignment="1">
      <alignment horizontal="left" wrapText="1"/>
    </xf>
    <xf numFmtId="0" fontId="5" fillId="8" borderId="17" xfId="0" applyFont="1" applyFill="1" applyBorder="1" applyAlignment="1">
      <alignment horizontal="left"/>
    </xf>
    <xf numFmtId="0" fontId="5" fillId="8" borderId="18" xfId="0" applyFont="1" applyFill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5" fillId="7" borderId="14" xfId="0" applyFont="1" applyFill="1" applyBorder="1" applyAlignment="1">
      <alignment horizontal="left" wrapText="1"/>
    </xf>
    <xf numFmtId="0" fontId="5" fillId="7" borderId="0" xfId="0" applyFont="1" applyFill="1" applyAlignment="1">
      <alignment horizontal="left" wrapText="1"/>
    </xf>
  </cellXfs>
  <cellStyles count="5">
    <cellStyle name="Moeda" xfId="1" builtinId="4"/>
    <cellStyle name="Moeda 2" xfId="4" xr:uid="{00000000-0005-0000-0000-000001000000}"/>
    <cellStyle name="Normal" xfId="0" builtinId="0"/>
    <cellStyle name="Porcentagem" xfId="2" builtinId="5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N144"/>
  <sheetViews>
    <sheetView tabSelected="1" topLeftCell="A15" zoomScale="93" zoomScaleNormal="93" workbookViewId="0">
      <selection activeCell="L57" sqref="L57"/>
    </sheetView>
  </sheetViews>
  <sheetFormatPr defaultRowHeight="15"/>
  <cols>
    <col min="1" max="1" width="9.140625" style="72"/>
    <col min="2" max="2" width="19.5703125" style="72" customWidth="1"/>
    <col min="3" max="3" width="21.5703125" style="72" customWidth="1"/>
    <col min="4" max="4" width="14.42578125" style="72" bestFit="1" customWidth="1"/>
    <col min="5" max="5" width="16.42578125" style="72" bestFit="1" customWidth="1"/>
    <col min="6" max="6" width="20.140625" style="72" bestFit="1" customWidth="1"/>
    <col min="7" max="8" width="18.140625" style="72" bestFit="1" customWidth="1"/>
    <col min="9" max="9" width="15.85546875" style="72" bestFit="1" customWidth="1"/>
    <col min="10" max="10" width="17.85546875" style="72" bestFit="1" customWidth="1"/>
    <col min="11" max="11" width="18.85546875" style="72" bestFit="1" customWidth="1"/>
    <col min="12" max="12" width="19.85546875" style="72" bestFit="1" customWidth="1"/>
    <col min="13" max="13" width="19" style="72" bestFit="1" customWidth="1"/>
    <col min="14" max="14" width="12.7109375" style="72" bestFit="1" customWidth="1"/>
    <col min="15" max="15" width="15.42578125" style="72" bestFit="1" customWidth="1"/>
    <col min="16" max="16" width="19.7109375" style="72" bestFit="1" customWidth="1"/>
    <col min="17" max="17" width="15.42578125" style="72" bestFit="1" customWidth="1"/>
    <col min="18" max="16384" width="9.140625" style="72"/>
  </cols>
  <sheetData>
    <row r="3" spans="2:14" ht="20.25">
      <c r="B3" s="217" t="s">
        <v>0</v>
      </c>
      <c r="C3" s="217"/>
      <c r="D3" s="217"/>
      <c r="E3" s="217"/>
      <c r="F3" s="217"/>
      <c r="G3" s="217"/>
      <c r="H3" s="217"/>
      <c r="I3" s="217"/>
      <c r="J3" s="217"/>
      <c r="K3" s="217"/>
      <c r="L3" s="217"/>
    </row>
    <row r="5" spans="2:14" ht="18.75">
      <c r="B5" s="212" t="s">
        <v>1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</row>
    <row r="6" spans="2:14">
      <c r="B6" s="73" t="s">
        <v>2</v>
      </c>
      <c r="C6" s="73" t="s">
        <v>3</v>
      </c>
      <c r="D6" s="74"/>
      <c r="E6" s="74"/>
      <c r="F6" s="74"/>
      <c r="G6" s="74"/>
      <c r="H6" s="74"/>
      <c r="I6" s="74"/>
      <c r="J6" s="74"/>
      <c r="K6" s="74"/>
      <c r="L6" s="74"/>
      <c r="N6" s="75"/>
    </row>
    <row r="7" spans="2:14">
      <c r="B7" s="73" t="s">
        <v>4</v>
      </c>
      <c r="C7" s="210" t="s">
        <v>5</v>
      </c>
      <c r="D7" s="210"/>
      <c r="E7" s="210"/>
      <c r="F7" s="73" t="s">
        <v>6</v>
      </c>
      <c r="G7" s="76"/>
      <c r="H7" s="74"/>
      <c r="I7" s="74"/>
      <c r="J7" s="74"/>
      <c r="K7" s="74"/>
      <c r="L7" s="74"/>
      <c r="N7" s="75"/>
    </row>
    <row r="8" spans="2:14">
      <c r="B8" s="73" t="s">
        <v>7</v>
      </c>
      <c r="C8" s="211"/>
      <c r="D8" s="211"/>
      <c r="E8" s="211"/>
      <c r="F8" s="211"/>
      <c r="G8" s="74"/>
      <c r="H8" s="74"/>
      <c r="I8" s="74"/>
      <c r="J8" s="74"/>
      <c r="K8" s="74"/>
      <c r="L8" s="74"/>
      <c r="N8" s="75"/>
    </row>
    <row r="9" spans="2:14">
      <c r="B9" s="77" t="s">
        <v>8</v>
      </c>
      <c r="C9" s="77" t="s">
        <v>9</v>
      </c>
      <c r="D9" s="77" t="s">
        <v>10</v>
      </c>
      <c r="E9" s="77" t="s">
        <v>11</v>
      </c>
      <c r="F9" s="78" t="s">
        <v>12</v>
      </c>
      <c r="G9" s="77" t="s">
        <v>13</v>
      </c>
      <c r="H9" s="77" t="s">
        <v>14</v>
      </c>
      <c r="I9" s="79" t="s">
        <v>15</v>
      </c>
      <c r="J9" s="80" t="s">
        <v>16</v>
      </c>
      <c r="K9" s="80" t="s">
        <v>17</v>
      </c>
      <c r="L9" s="79" t="s">
        <v>18</v>
      </c>
      <c r="N9" s="75"/>
    </row>
    <row r="10" spans="2:14">
      <c r="B10" s="81"/>
      <c r="C10" s="82"/>
      <c r="D10" s="83"/>
      <c r="E10" s="83"/>
      <c r="F10" s="84">
        <f>D10-E10</f>
        <v>0</v>
      </c>
      <c r="G10" s="85" t="str">
        <f>IF($G$9=C10,E10,"-")</f>
        <v>-</v>
      </c>
      <c r="H10" s="85" t="str">
        <f>IF($H$9=C10,D10,"-")</f>
        <v>-</v>
      </c>
      <c r="I10" s="84"/>
      <c r="J10" s="85" t="str">
        <f t="shared" ref="J10" si="0">IF("Tarifa"=C10,E10,"-")</f>
        <v>-</v>
      </c>
      <c r="K10" s="85" t="str">
        <f t="shared" ref="K10" si="1">IF("Tarifa"=C10,D10,"-")</f>
        <v>-</v>
      </c>
      <c r="L10" s="84"/>
      <c r="N10" s="75"/>
    </row>
    <row r="11" spans="2:14">
      <c r="B11" s="170"/>
      <c r="C11" s="82"/>
      <c r="D11" s="83"/>
      <c r="E11" s="83"/>
      <c r="F11" s="84">
        <f>F10+D11-E11</f>
        <v>0</v>
      </c>
      <c r="G11" s="85" t="str">
        <f t="shared" ref="G11:G44" si="2">IF($G$9=C11,E11,"-")</f>
        <v>-</v>
      </c>
      <c r="H11" s="85" t="str">
        <f t="shared" ref="H11:H44" si="3">IF($H$9=C11,D11,"-")</f>
        <v>-</v>
      </c>
      <c r="I11" s="84"/>
      <c r="J11" s="85" t="str">
        <f t="shared" ref="J11:J44" si="4">IF("Tarifa"=C11,E11,"-")</f>
        <v>-</v>
      </c>
      <c r="K11" s="85" t="str">
        <f t="shared" ref="K11:K44" si="5">IF("Tarifa"=C11,D11,"-")</f>
        <v>-</v>
      </c>
      <c r="L11" s="84"/>
      <c r="N11" s="86"/>
    </row>
    <row r="12" spans="2:14">
      <c r="B12" s="81"/>
      <c r="C12" s="82"/>
      <c r="D12" s="83"/>
      <c r="E12" s="83"/>
      <c r="F12" s="84">
        <f t="shared" ref="F12:F45" si="6">F11+D12-E12</f>
        <v>0</v>
      </c>
      <c r="G12" s="85" t="str">
        <f t="shared" si="2"/>
        <v>-</v>
      </c>
      <c r="H12" s="85" t="str">
        <f t="shared" si="3"/>
        <v>-</v>
      </c>
      <c r="I12" s="87"/>
      <c r="J12" s="85" t="str">
        <f t="shared" si="4"/>
        <v>-</v>
      </c>
      <c r="K12" s="85" t="str">
        <f t="shared" si="5"/>
        <v>-</v>
      </c>
      <c r="L12" s="84"/>
      <c r="N12" s="88"/>
    </row>
    <row r="13" spans="2:14">
      <c r="B13" s="170"/>
      <c r="C13" s="82"/>
      <c r="D13" s="83"/>
      <c r="E13" s="83"/>
      <c r="F13" s="84">
        <f t="shared" si="6"/>
        <v>0</v>
      </c>
      <c r="G13" s="85" t="str">
        <f t="shared" si="2"/>
        <v>-</v>
      </c>
      <c r="H13" s="85" t="str">
        <f t="shared" si="3"/>
        <v>-</v>
      </c>
      <c r="I13" s="87"/>
      <c r="J13" s="85" t="str">
        <f t="shared" si="4"/>
        <v>-</v>
      </c>
      <c r="K13" s="85" t="str">
        <f t="shared" si="5"/>
        <v>-</v>
      </c>
      <c r="L13" s="84"/>
      <c r="N13" s="88"/>
    </row>
    <row r="14" spans="2:14">
      <c r="B14" s="81"/>
      <c r="C14" s="82"/>
      <c r="D14" s="83"/>
      <c r="E14" s="83"/>
      <c r="F14" s="84">
        <f t="shared" si="6"/>
        <v>0</v>
      </c>
      <c r="G14" s="85" t="str">
        <f t="shared" ref="G14:G43" si="7">IF($G$9=C14,E14,"-")</f>
        <v>-</v>
      </c>
      <c r="H14" s="85" t="str">
        <f t="shared" ref="H14:H43" si="8">IF($H$9=C14,D14,"-")</f>
        <v>-</v>
      </c>
      <c r="I14" s="87"/>
      <c r="J14" s="85" t="str">
        <f t="shared" ref="J14:J43" si="9">IF("Tarifa"=C14,E14,"-")</f>
        <v>-</v>
      </c>
      <c r="K14" s="85" t="str">
        <f t="shared" ref="K14:K43" si="10">IF("Tarifa"=C14,D14,"-")</f>
        <v>-</v>
      </c>
      <c r="L14" s="84"/>
      <c r="N14" s="88"/>
    </row>
    <row r="15" spans="2:14">
      <c r="B15" s="81"/>
      <c r="C15" s="82"/>
      <c r="D15" s="83"/>
      <c r="E15" s="83"/>
      <c r="F15" s="84">
        <f t="shared" si="6"/>
        <v>0</v>
      </c>
      <c r="G15" s="85" t="str">
        <f t="shared" si="7"/>
        <v>-</v>
      </c>
      <c r="H15" s="85" t="str">
        <f t="shared" si="8"/>
        <v>-</v>
      </c>
      <c r="I15" s="171">
        <f>H45-G45</f>
        <v>0</v>
      </c>
      <c r="J15" s="85" t="str">
        <f t="shared" si="9"/>
        <v>-</v>
      </c>
      <c r="K15" s="85" t="str">
        <f t="shared" si="10"/>
        <v>-</v>
      </c>
      <c r="L15" s="84"/>
      <c r="N15" s="88"/>
    </row>
    <row r="16" spans="2:14" hidden="1">
      <c r="B16" s="81"/>
      <c r="C16" s="82"/>
      <c r="D16" s="83"/>
      <c r="E16" s="83"/>
      <c r="F16" s="84">
        <f t="shared" si="6"/>
        <v>0</v>
      </c>
      <c r="G16" s="85" t="str">
        <f t="shared" si="7"/>
        <v>-</v>
      </c>
      <c r="H16" s="85" t="str">
        <f t="shared" si="8"/>
        <v>-</v>
      </c>
      <c r="I16" s="87"/>
      <c r="J16" s="85" t="str">
        <f t="shared" si="9"/>
        <v>-</v>
      </c>
      <c r="K16" s="85" t="str">
        <f t="shared" si="10"/>
        <v>-</v>
      </c>
      <c r="L16" s="84"/>
      <c r="N16" s="88"/>
    </row>
    <row r="17" spans="2:14" hidden="1">
      <c r="B17" s="81"/>
      <c r="C17" s="82"/>
      <c r="D17" s="83"/>
      <c r="E17" s="83"/>
      <c r="F17" s="84">
        <f t="shared" si="6"/>
        <v>0</v>
      </c>
      <c r="G17" s="85" t="str">
        <f t="shared" si="7"/>
        <v>-</v>
      </c>
      <c r="H17" s="85" t="str">
        <f t="shared" si="8"/>
        <v>-</v>
      </c>
      <c r="I17" s="87"/>
      <c r="J17" s="85" t="str">
        <f t="shared" si="9"/>
        <v>-</v>
      </c>
      <c r="K17" s="85" t="str">
        <f t="shared" si="10"/>
        <v>-</v>
      </c>
      <c r="L17" s="84"/>
      <c r="N17" s="88"/>
    </row>
    <row r="18" spans="2:14" hidden="1">
      <c r="B18" s="81"/>
      <c r="C18" s="82"/>
      <c r="D18" s="83"/>
      <c r="E18" s="83"/>
      <c r="F18" s="84">
        <f t="shared" si="6"/>
        <v>0</v>
      </c>
      <c r="G18" s="85" t="str">
        <f t="shared" si="7"/>
        <v>-</v>
      </c>
      <c r="H18" s="85" t="str">
        <f t="shared" si="8"/>
        <v>-</v>
      </c>
      <c r="I18" s="87"/>
      <c r="J18" s="85" t="str">
        <f t="shared" si="9"/>
        <v>-</v>
      </c>
      <c r="K18" s="85" t="str">
        <f t="shared" si="10"/>
        <v>-</v>
      </c>
      <c r="L18" s="84"/>
      <c r="N18" s="88"/>
    </row>
    <row r="19" spans="2:14" hidden="1">
      <c r="B19" s="81"/>
      <c r="C19" s="82"/>
      <c r="D19" s="83"/>
      <c r="E19" s="83"/>
      <c r="F19" s="84">
        <f t="shared" si="6"/>
        <v>0</v>
      </c>
      <c r="G19" s="85" t="str">
        <f t="shared" si="7"/>
        <v>-</v>
      </c>
      <c r="H19" s="85" t="str">
        <f t="shared" si="8"/>
        <v>-</v>
      </c>
      <c r="I19" s="87"/>
      <c r="J19" s="85" t="str">
        <f t="shared" si="9"/>
        <v>-</v>
      </c>
      <c r="K19" s="85" t="str">
        <f t="shared" si="10"/>
        <v>-</v>
      </c>
      <c r="L19" s="84"/>
      <c r="N19" s="88"/>
    </row>
    <row r="20" spans="2:14" hidden="1">
      <c r="B20" s="81"/>
      <c r="C20" s="82"/>
      <c r="D20" s="83"/>
      <c r="E20" s="83"/>
      <c r="F20" s="84">
        <f t="shared" si="6"/>
        <v>0</v>
      </c>
      <c r="G20" s="85" t="str">
        <f t="shared" si="7"/>
        <v>-</v>
      </c>
      <c r="H20" s="85" t="str">
        <f t="shared" si="8"/>
        <v>-</v>
      </c>
      <c r="I20" s="87"/>
      <c r="J20" s="85" t="str">
        <f t="shared" si="9"/>
        <v>-</v>
      </c>
      <c r="K20" s="85" t="str">
        <f t="shared" si="10"/>
        <v>-</v>
      </c>
      <c r="L20" s="84"/>
      <c r="N20" s="88"/>
    </row>
    <row r="21" spans="2:14" hidden="1">
      <c r="B21" s="81"/>
      <c r="C21" s="82"/>
      <c r="D21" s="83"/>
      <c r="E21" s="83"/>
      <c r="F21" s="84">
        <f t="shared" si="6"/>
        <v>0</v>
      </c>
      <c r="G21" s="85" t="str">
        <f t="shared" si="7"/>
        <v>-</v>
      </c>
      <c r="H21" s="85" t="str">
        <f t="shared" si="8"/>
        <v>-</v>
      </c>
      <c r="I21" s="87"/>
      <c r="J21" s="85" t="str">
        <f t="shared" si="9"/>
        <v>-</v>
      </c>
      <c r="K21" s="85" t="str">
        <f t="shared" si="10"/>
        <v>-</v>
      </c>
      <c r="L21" s="84"/>
      <c r="N21" s="88"/>
    </row>
    <row r="22" spans="2:14" hidden="1">
      <c r="B22" s="81"/>
      <c r="C22" s="82"/>
      <c r="D22" s="83"/>
      <c r="E22" s="83"/>
      <c r="F22" s="84">
        <f t="shared" si="6"/>
        <v>0</v>
      </c>
      <c r="G22" s="85" t="str">
        <f t="shared" si="7"/>
        <v>-</v>
      </c>
      <c r="H22" s="85" t="str">
        <f t="shared" si="8"/>
        <v>-</v>
      </c>
      <c r="I22" s="87"/>
      <c r="J22" s="85" t="str">
        <f t="shared" si="9"/>
        <v>-</v>
      </c>
      <c r="K22" s="85" t="str">
        <f t="shared" si="10"/>
        <v>-</v>
      </c>
      <c r="L22" s="84"/>
      <c r="N22" s="88"/>
    </row>
    <row r="23" spans="2:14" hidden="1">
      <c r="B23" s="81"/>
      <c r="C23" s="82"/>
      <c r="D23" s="83"/>
      <c r="E23" s="83"/>
      <c r="F23" s="84">
        <f t="shared" si="6"/>
        <v>0</v>
      </c>
      <c r="G23" s="85" t="str">
        <f t="shared" si="7"/>
        <v>-</v>
      </c>
      <c r="H23" s="85" t="str">
        <f t="shared" si="8"/>
        <v>-</v>
      </c>
      <c r="I23" s="87"/>
      <c r="J23" s="85" t="str">
        <f t="shared" si="9"/>
        <v>-</v>
      </c>
      <c r="K23" s="85" t="str">
        <f t="shared" si="10"/>
        <v>-</v>
      </c>
      <c r="L23" s="84"/>
      <c r="N23" s="88"/>
    </row>
    <row r="24" spans="2:14" hidden="1">
      <c r="B24" s="81"/>
      <c r="C24" s="82"/>
      <c r="D24" s="83"/>
      <c r="E24" s="83"/>
      <c r="F24" s="84">
        <f t="shared" si="6"/>
        <v>0</v>
      </c>
      <c r="G24" s="85" t="str">
        <f t="shared" si="7"/>
        <v>-</v>
      </c>
      <c r="H24" s="85" t="str">
        <f t="shared" si="8"/>
        <v>-</v>
      </c>
      <c r="I24" s="87"/>
      <c r="J24" s="85" t="str">
        <f t="shared" si="9"/>
        <v>-</v>
      </c>
      <c r="K24" s="85" t="str">
        <f t="shared" si="10"/>
        <v>-</v>
      </c>
      <c r="L24" s="84"/>
      <c r="N24" s="88"/>
    </row>
    <row r="25" spans="2:14" hidden="1">
      <c r="B25" s="81"/>
      <c r="C25" s="82"/>
      <c r="D25" s="83"/>
      <c r="E25" s="83"/>
      <c r="F25" s="84">
        <f t="shared" si="6"/>
        <v>0</v>
      </c>
      <c r="G25" s="85" t="str">
        <f t="shared" si="7"/>
        <v>-</v>
      </c>
      <c r="H25" s="85" t="str">
        <f t="shared" si="8"/>
        <v>-</v>
      </c>
      <c r="I25" s="87"/>
      <c r="J25" s="85" t="str">
        <f t="shared" si="9"/>
        <v>-</v>
      </c>
      <c r="K25" s="85" t="str">
        <f t="shared" si="10"/>
        <v>-</v>
      </c>
      <c r="L25" s="84"/>
      <c r="N25" s="88"/>
    </row>
    <row r="26" spans="2:14" hidden="1">
      <c r="B26" s="81"/>
      <c r="C26" s="82"/>
      <c r="D26" s="83"/>
      <c r="E26" s="83"/>
      <c r="F26" s="84">
        <f t="shared" si="6"/>
        <v>0</v>
      </c>
      <c r="G26" s="85" t="str">
        <f t="shared" si="7"/>
        <v>-</v>
      </c>
      <c r="H26" s="85" t="str">
        <f t="shared" si="8"/>
        <v>-</v>
      </c>
      <c r="I26" s="87"/>
      <c r="J26" s="85" t="str">
        <f t="shared" si="9"/>
        <v>-</v>
      </c>
      <c r="K26" s="85" t="str">
        <f t="shared" si="10"/>
        <v>-</v>
      </c>
      <c r="L26" s="84"/>
      <c r="N26" s="88"/>
    </row>
    <row r="27" spans="2:14" hidden="1">
      <c r="B27" s="81"/>
      <c r="C27" s="82"/>
      <c r="D27" s="83"/>
      <c r="E27" s="83"/>
      <c r="F27" s="84">
        <f t="shared" si="6"/>
        <v>0</v>
      </c>
      <c r="G27" s="85" t="str">
        <f t="shared" si="7"/>
        <v>-</v>
      </c>
      <c r="H27" s="85" t="str">
        <f t="shared" si="8"/>
        <v>-</v>
      </c>
      <c r="I27" s="87"/>
      <c r="J27" s="85" t="str">
        <f t="shared" si="9"/>
        <v>-</v>
      </c>
      <c r="K27" s="85" t="str">
        <f t="shared" si="10"/>
        <v>-</v>
      </c>
      <c r="L27" s="84"/>
      <c r="N27" s="88"/>
    </row>
    <row r="28" spans="2:14" hidden="1">
      <c r="B28" s="81"/>
      <c r="C28" s="82"/>
      <c r="D28" s="83"/>
      <c r="E28" s="83"/>
      <c r="F28" s="84">
        <f t="shared" si="6"/>
        <v>0</v>
      </c>
      <c r="G28" s="85" t="str">
        <f t="shared" si="7"/>
        <v>-</v>
      </c>
      <c r="H28" s="85" t="str">
        <f t="shared" si="8"/>
        <v>-</v>
      </c>
      <c r="I28" s="87"/>
      <c r="J28" s="85" t="str">
        <f t="shared" si="9"/>
        <v>-</v>
      </c>
      <c r="K28" s="85" t="str">
        <f t="shared" si="10"/>
        <v>-</v>
      </c>
      <c r="L28" s="84"/>
      <c r="N28" s="88"/>
    </row>
    <row r="29" spans="2:14" hidden="1">
      <c r="B29" s="81"/>
      <c r="C29" s="82"/>
      <c r="D29" s="83"/>
      <c r="E29" s="83"/>
      <c r="F29" s="84">
        <f t="shared" si="6"/>
        <v>0</v>
      </c>
      <c r="G29" s="85" t="str">
        <f t="shared" si="7"/>
        <v>-</v>
      </c>
      <c r="H29" s="85" t="str">
        <f t="shared" si="8"/>
        <v>-</v>
      </c>
      <c r="I29" s="87"/>
      <c r="J29" s="85" t="str">
        <f t="shared" si="9"/>
        <v>-</v>
      </c>
      <c r="K29" s="85" t="str">
        <f t="shared" si="10"/>
        <v>-</v>
      </c>
      <c r="L29" s="84"/>
      <c r="N29" s="88"/>
    </row>
    <row r="30" spans="2:14" hidden="1">
      <c r="B30" s="81"/>
      <c r="C30" s="82"/>
      <c r="D30" s="83"/>
      <c r="E30" s="83"/>
      <c r="F30" s="84">
        <f t="shared" si="6"/>
        <v>0</v>
      </c>
      <c r="G30" s="85" t="str">
        <f t="shared" si="7"/>
        <v>-</v>
      </c>
      <c r="H30" s="85" t="str">
        <f t="shared" si="8"/>
        <v>-</v>
      </c>
      <c r="I30" s="87"/>
      <c r="J30" s="85" t="str">
        <f t="shared" si="9"/>
        <v>-</v>
      </c>
      <c r="K30" s="85" t="str">
        <f t="shared" si="10"/>
        <v>-</v>
      </c>
      <c r="L30" s="84"/>
      <c r="N30" s="88"/>
    </row>
    <row r="31" spans="2:14" hidden="1">
      <c r="B31" s="81"/>
      <c r="C31" s="82"/>
      <c r="D31" s="83"/>
      <c r="E31" s="83"/>
      <c r="F31" s="84">
        <f t="shared" si="6"/>
        <v>0</v>
      </c>
      <c r="G31" s="85" t="str">
        <f t="shared" si="7"/>
        <v>-</v>
      </c>
      <c r="H31" s="85" t="str">
        <f t="shared" si="8"/>
        <v>-</v>
      </c>
      <c r="I31" s="87"/>
      <c r="J31" s="85" t="str">
        <f t="shared" si="9"/>
        <v>-</v>
      </c>
      <c r="K31" s="85" t="str">
        <f t="shared" si="10"/>
        <v>-</v>
      </c>
      <c r="L31" s="84"/>
      <c r="N31" s="88"/>
    </row>
    <row r="32" spans="2:14" hidden="1">
      <c r="B32" s="81"/>
      <c r="C32" s="82"/>
      <c r="D32" s="83"/>
      <c r="E32" s="83"/>
      <c r="F32" s="84">
        <f t="shared" si="6"/>
        <v>0</v>
      </c>
      <c r="G32" s="85" t="str">
        <f t="shared" si="7"/>
        <v>-</v>
      </c>
      <c r="H32" s="85" t="str">
        <f t="shared" si="8"/>
        <v>-</v>
      </c>
      <c r="I32" s="87"/>
      <c r="J32" s="85" t="str">
        <f t="shared" si="9"/>
        <v>-</v>
      </c>
      <c r="K32" s="85" t="str">
        <f t="shared" si="10"/>
        <v>-</v>
      </c>
      <c r="L32" s="84"/>
      <c r="N32" s="88"/>
    </row>
    <row r="33" spans="1:14" hidden="1">
      <c r="B33" s="81"/>
      <c r="C33" s="82"/>
      <c r="D33" s="83"/>
      <c r="E33" s="83"/>
      <c r="F33" s="84">
        <f t="shared" si="6"/>
        <v>0</v>
      </c>
      <c r="G33" s="85" t="str">
        <f t="shared" si="7"/>
        <v>-</v>
      </c>
      <c r="H33" s="85" t="str">
        <f t="shared" si="8"/>
        <v>-</v>
      </c>
      <c r="I33" s="87"/>
      <c r="J33" s="85" t="str">
        <f t="shared" si="9"/>
        <v>-</v>
      </c>
      <c r="K33" s="85" t="str">
        <f t="shared" si="10"/>
        <v>-</v>
      </c>
      <c r="L33" s="84"/>
      <c r="N33" s="88"/>
    </row>
    <row r="34" spans="1:14" hidden="1">
      <c r="B34" s="81"/>
      <c r="C34" s="82"/>
      <c r="D34" s="83"/>
      <c r="E34" s="83"/>
      <c r="F34" s="84">
        <f t="shared" si="6"/>
        <v>0</v>
      </c>
      <c r="G34" s="85" t="str">
        <f t="shared" si="7"/>
        <v>-</v>
      </c>
      <c r="H34" s="85" t="str">
        <f t="shared" si="8"/>
        <v>-</v>
      </c>
      <c r="I34" s="87"/>
      <c r="J34" s="85" t="str">
        <f t="shared" si="9"/>
        <v>-</v>
      </c>
      <c r="K34" s="85" t="str">
        <f t="shared" si="10"/>
        <v>-</v>
      </c>
      <c r="L34" s="84"/>
      <c r="N34" s="88"/>
    </row>
    <row r="35" spans="1:14" hidden="1">
      <c r="B35" s="81"/>
      <c r="C35" s="82"/>
      <c r="D35" s="83"/>
      <c r="E35" s="83"/>
      <c r="F35" s="84">
        <f t="shared" si="6"/>
        <v>0</v>
      </c>
      <c r="G35" s="85" t="str">
        <f t="shared" si="7"/>
        <v>-</v>
      </c>
      <c r="H35" s="85" t="str">
        <f t="shared" si="8"/>
        <v>-</v>
      </c>
      <c r="I35" s="87"/>
      <c r="J35" s="85" t="str">
        <f t="shared" si="9"/>
        <v>-</v>
      </c>
      <c r="K35" s="85" t="str">
        <f t="shared" si="10"/>
        <v>-</v>
      </c>
      <c r="L35" s="84"/>
      <c r="N35" s="88"/>
    </row>
    <row r="36" spans="1:14" hidden="1">
      <c r="B36" s="81"/>
      <c r="C36" s="82"/>
      <c r="D36" s="83"/>
      <c r="E36" s="83"/>
      <c r="F36" s="84">
        <f t="shared" si="6"/>
        <v>0</v>
      </c>
      <c r="G36" s="85" t="str">
        <f t="shared" si="7"/>
        <v>-</v>
      </c>
      <c r="H36" s="85" t="str">
        <f t="shared" si="8"/>
        <v>-</v>
      </c>
      <c r="I36" s="87"/>
      <c r="J36" s="85" t="str">
        <f t="shared" si="9"/>
        <v>-</v>
      </c>
      <c r="K36" s="85" t="str">
        <f t="shared" si="10"/>
        <v>-</v>
      </c>
      <c r="L36" s="84"/>
      <c r="N36" s="88"/>
    </row>
    <row r="37" spans="1:14" hidden="1">
      <c r="B37" s="81"/>
      <c r="C37" s="82"/>
      <c r="D37" s="83"/>
      <c r="E37" s="83"/>
      <c r="F37" s="84">
        <f t="shared" si="6"/>
        <v>0</v>
      </c>
      <c r="G37" s="85" t="str">
        <f t="shared" si="7"/>
        <v>-</v>
      </c>
      <c r="H37" s="85" t="str">
        <f t="shared" si="8"/>
        <v>-</v>
      </c>
      <c r="I37" s="87"/>
      <c r="J37" s="85" t="str">
        <f t="shared" si="9"/>
        <v>-</v>
      </c>
      <c r="K37" s="85" t="str">
        <f t="shared" si="10"/>
        <v>-</v>
      </c>
      <c r="L37" s="84"/>
      <c r="N37" s="88"/>
    </row>
    <row r="38" spans="1:14" hidden="1">
      <c r="B38" s="81"/>
      <c r="C38" s="82"/>
      <c r="D38" s="83"/>
      <c r="E38" s="83"/>
      <c r="F38" s="84">
        <f t="shared" si="6"/>
        <v>0</v>
      </c>
      <c r="G38" s="85" t="str">
        <f t="shared" si="7"/>
        <v>-</v>
      </c>
      <c r="H38" s="85" t="str">
        <f t="shared" si="8"/>
        <v>-</v>
      </c>
      <c r="I38" s="87"/>
      <c r="J38" s="85" t="str">
        <f t="shared" si="9"/>
        <v>-</v>
      </c>
      <c r="K38" s="85" t="str">
        <f t="shared" si="10"/>
        <v>-</v>
      </c>
      <c r="L38" s="84"/>
      <c r="N38" s="88"/>
    </row>
    <row r="39" spans="1:14" hidden="1">
      <c r="B39" s="81"/>
      <c r="C39" s="82"/>
      <c r="D39" s="83"/>
      <c r="E39" s="83"/>
      <c r="F39" s="84">
        <f t="shared" si="6"/>
        <v>0</v>
      </c>
      <c r="G39" s="85" t="str">
        <f t="shared" si="7"/>
        <v>-</v>
      </c>
      <c r="H39" s="85" t="str">
        <f t="shared" si="8"/>
        <v>-</v>
      </c>
      <c r="I39" s="87"/>
      <c r="J39" s="85" t="str">
        <f t="shared" si="9"/>
        <v>-</v>
      </c>
      <c r="K39" s="85" t="str">
        <f t="shared" si="10"/>
        <v>-</v>
      </c>
      <c r="L39" s="84"/>
      <c r="N39" s="88"/>
    </row>
    <row r="40" spans="1:14" hidden="1">
      <c r="B40" s="81"/>
      <c r="C40" s="82"/>
      <c r="D40" s="83"/>
      <c r="E40" s="83"/>
      <c r="F40" s="84">
        <f t="shared" si="6"/>
        <v>0</v>
      </c>
      <c r="G40" s="85" t="str">
        <f t="shared" si="7"/>
        <v>-</v>
      </c>
      <c r="H40" s="85" t="str">
        <f t="shared" si="8"/>
        <v>-</v>
      </c>
      <c r="I40" s="87"/>
      <c r="J40" s="85" t="str">
        <f t="shared" si="9"/>
        <v>-</v>
      </c>
      <c r="K40" s="85" t="str">
        <f t="shared" si="10"/>
        <v>-</v>
      </c>
      <c r="L40" s="84"/>
      <c r="N40" s="88"/>
    </row>
    <row r="41" spans="1:14" hidden="1">
      <c r="B41" s="81"/>
      <c r="C41" s="82"/>
      <c r="D41" s="83"/>
      <c r="E41" s="83"/>
      <c r="F41" s="84">
        <f t="shared" si="6"/>
        <v>0</v>
      </c>
      <c r="G41" s="85" t="str">
        <f t="shared" si="7"/>
        <v>-</v>
      </c>
      <c r="H41" s="85" t="str">
        <f t="shared" si="8"/>
        <v>-</v>
      </c>
      <c r="I41" s="87"/>
      <c r="J41" s="85" t="str">
        <f t="shared" si="9"/>
        <v>-</v>
      </c>
      <c r="K41" s="85" t="str">
        <f t="shared" si="10"/>
        <v>-</v>
      </c>
      <c r="L41" s="84"/>
      <c r="N41" s="88"/>
    </row>
    <row r="42" spans="1:14" hidden="1">
      <c r="B42" s="81"/>
      <c r="C42" s="82"/>
      <c r="D42" s="83"/>
      <c r="E42" s="83"/>
      <c r="F42" s="84">
        <f t="shared" si="6"/>
        <v>0</v>
      </c>
      <c r="G42" s="85" t="str">
        <f t="shared" si="7"/>
        <v>-</v>
      </c>
      <c r="H42" s="85" t="str">
        <f t="shared" si="8"/>
        <v>-</v>
      </c>
      <c r="I42" s="87"/>
      <c r="J42" s="85" t="str">
        <f t="shared" si="9"/>
        <v>-</v>
      </c>
      <c r="K42" s="85" t="str">
        <f t="shared" si="10"/>
        <v>-</v>
      </c>
      <c r="L42" s="84"/>
      <c r="N42" s="88"/>
    </row>
    <row r="43" spans="1:14" hidden="1">
      <c r="B43" s="81"/>
      <c r="C43" s="82"/>
      <c r="D43" s="83"/>
      <c r="E43" s="83"/>
      <c r="F43" s="84">
        <f t="shared" si="6"/>
        <v>0</v>
      </c>
      <c r="G43" s="85" t="str">
        <f t="shared" si="7"/>
        <v>-</v>
      </c>
      <c r="H43" s="85" t="str">
        <f t="shared" si="8"/>
        <v>-</v>
      </c>
      <c r="I43" s="87"/>
      <c r="J43" s="85" t="str">
        <f t="shared" si="9"/>
        <v>-</v>
      </c>
      <c r="K43" s="85" t="str">
        <f t="shared" si="10"/>
        <v>-</v>
      </c>
      <c r="L43" s="84"/>
      <c r="N43" s="88"/>
    </row>
    <row r="44" spans="1:14" hidden="1">
      <c r="B44" s="81"/>
      <c r="C44" s="82"/>
      <c r="D44" s="83"/>
      <c r="E44" s="83"/>
      <c r="F44" s="84">
        <f t="shared" si="6"/>
        <v>0</v>
      </c>
      <c r="G44" s="85" t="str">
        <f t="shared" si="2"/>
        <v>-</v>
      </c>
      <c r="H44" s="85" t="str">
        <f t="shared" si="3"/>
        <v>-</v>
      </c>
      <c r="I44" s="87"/>
      <c r="J44" s="85" t="str">
        <f t="shared" si="4"/>
        <v>-</v>
      </c>
      <c r="K44" s="85" t="str">
        <f t="shared" si="5"/>
        <v>-</v>
      </c>
      <c r="L44" s="84"/>
    </row>
    <row r="45" spans="1:14">
      <c r="B45" s="89" t="s">
        <v>19</v>
      </c>
      <c r="C45" s="77"/>
      <c r="D45" s="80">
        <f>SUM(D10:D44)</f>
        <v>0</v>
      </c>
      <c r="E45" s="80">
        <f>SUM(E10:E44)</f>
        <v>0</v>
      </c>
      <c r="F45" s="84">
        <f t="shared" si="6"/>
        <v>0</v>
      </c>
      <c r="G45" s="90">
        <f>SUM(G10:G44)</f>
        <v>0</v>
      </c>
      <c r="H45" s="90">
        <f>SUM(H10:H44)</f>
        <v>0</v>
      </c>
      <c r="I45" s="172">
        <v>0</v>
      </c>
      <c r="J45" s="90">
        <f>SUM(J10:J44)</f>
        <v>0</v>
      </c>
      <c r="K45" s="90">
        <f>SUM(K10:K44)</f>
        <v>0</v>
      </c>
      <c r="L45" s="79">
        <f>J45-K45</f>
        <v>0</v>
      </c>
    </row>
    <row r="46" spans="1:14">
      <c r="D46" s="86"/>
      <c r="E46" s="86"/>
      <c r="F46" s="86"/>
    </row>
    <row r="47" spans="1:14" hidden="1">
      <c r="B47" s="91" t="s">
        <v>20</v>
      </c>
      <c r="D47" s="92"/>
      <c r="E47" s="86"/>
      <c r="F47" s="86"/>
    </row>
    <row r="48" spans="1:14" hidden="1">
      <c r="A48" s="93"/>
      <c r="B48" s="94" t="s">
        <v>21</v>
      </c>
      <c r="C48" s="94" t="s">
        <v>22</v>
      </c>
      <c r="D48" s="95" t="s">
        <v>23</v>
      </c>
      <c r="E48" s="94" t="s">
        <v>24</v>
      </c>
      <c r="F48" s="94" t="s">
        <v>25</v>
      </c>
      <c r="G48" s="94" t="s">
        <v>26</v>
      </c>
      <c r="H48" s="94" t="s">
        <v>27</v>
      </c>
      <c r="I48" s="94" t="s">
        <v>28</v>
      </c>
      <c r="J48" s="94" t="s">
        <v>29</v>
      </c>
      <c r="K48" s="94" t="s">
        <v>30</v>
      </c>
      <c r="L48" s="94" t="s">
        <v>31</v>
      </c>
      <c r="M48" s="94" t="s">
        <v>32</v>
      </c>
    </row>
    <row r="49" spans="1:14" hidden="1">
      <c r="B49" s="96"/>
      <c r="C49" s="97"/>
      <c r="D49" s="98"/>
      <c r="E49" s="99"/>
      <c r="F49" s="100"/>
      <c r="G49" s="100"/>
      <c r="H49" s="100"/>
      <c r="I49" s="100"/>
      <c r="J49" s="100">
        <f>F49-G49-H49-I49</f>
        <v>0</v>
      </c>
      <c r="K49" s="99"/>
      <c r="L49" s="98"/>
      <c r="M49" s="98"/>
    </row>
    <row r="50" spans="1:14" hidden="1">
      <c r="B50" s="96"/>
      <c r="C50" s="97"/>
      <c r="D50" s="98"/>
      <c r="E50" s="99"/>
      <c r="F50" s="100"/>
      <c r="G50" s="100"/>
      <c r="H50" s="100"/>
      <c r="I50" s="100"/>
      <c r="J50" s="100">
        <f t="shared" ref="J50:J53" si="11">F50-G50-H50-I50</f>
        <v>0</v>
      </c>
      <c r="K50" s="99"/>
      <c r="L50" s="98"/>
      <c r="M50" s="98"/>
    </row>
    <row r="51" spans="1:14" hidden="1">
      <c r="B51" s="96"/>
      <c r="C51" s="97"/>
      <c r="D51" s="98"/>
      <c r="E51" s="99"/>
      <c r="F51" s="100"/>
      <c r="G51" s="100"/>
      <c r="H51" s="100"/>
      <c r="I51" s="100"/>
      <c r="J51" s="100">
        <f t="shared" si="11"/>
        <v>0</v>
      </c>
      <c r="K51" s="99"/>
      <c r="L51" s="98"/>
      <c r="M51" s="98"/>
    </row>
    <row r="52" spans="1:14" hidden="1">
      <c r="B52" s="96"/>
      <c r="C52" s="97"/>
      <c r="D52" s="98"/>
      <c r="E52" s="99"/>
      <c r="F52" s="100"/>
      <c r="G52" s="100"/>
      <c r="H52" s="100"/>
      <c r="I52" s="100"/>
      <c r="J52" s="100">
        <f t="shared" si="11"/>
        <v>0</v>
      </c>
      <c r="K52" s="99"/>
      <c r="L52" s="98"/>
      <c r="M52" s="98"/>
    </row>
    <row r="53" spans="1:14" hidden="1">
      <c r="B53" s="96"/>
      <c r="C53" s="97"/>
      <c r="D53" s="98"/>
      <c r="E53" s="99"/>
      <c r="F53" s="100"/>
      <c r="G53" s="100"/>
      <c r="H53" s="100"/>
      <c r="I53" s="100"/>
      <c r="J53" s="100">
        <f t="shared" si="11"/>
        <v>0</v>
      </c>
      <c r="K53" s="99"/>
      <c r="L53" s="98"/>
      <c r="M53" s="98"/>
    </row>
    <row r="54" spans="1:14" hidden="1">
      <c r="B54" s="192" t="s">
        <v>19</v>
      </c>
      <c r="C54" s="192"/>
      <c r="D54" s="192"/>
      <c r="E54" s="192"/>
      <c r="F54" s="104">
        <f>SUM(F49:F53)</f>
        <v>0</v>
      </c>
      <c r="G54" s="104">
        <f>SUM(G49:G53)</f>
        <v>0</v>
      </c>
      <c r="H54" s="104">
        <f>SUM(H49:H53)</f>
        <v>0</v>
      </c>
      <c r="I54" s="104">
        <f>SUM(I49:I53)</f>
        <v>0</v>
      </c>
      <c r="J54" s="104">
        <f>F54-G54-H54-I54</f>
        <v>0</v>
      </c>
      <c r="K54" s="103"/>
      <c r="L54" s="102"/>
      <c r="M54" s="102"/>
    </row>
    <row r="55" spans="1:14" ht="15.75" thickBot="1">
      <c r="B55" s="101"/>
      <c r="C55" s="93" t="s">
        <v>33</v>
      </c>
      <c r="D55" s="92"/>
      <c r="E55" s="103"/>
      <c r="F55" s="105"/>
      <c r="G55" s="106"/>
      <c r="H55" s="105"/>
      <c r="I55" s="105"/>
      <c r="J55" s="103"/>
      <c r="K55" s="102"/>
      <c r="L55" s="102"/>
    </row>
    <row r="56" spans="1:14" ht="15.75" thickBot="1">
      <c r="C56" s="214" t="s">
        <v>34</v>
      </c>
      <c r="D56" s="215"/>
      <c r="E56" s="141" t="s">
        <v>35</v>
      </c>
      <c r="F56" s="137"/>
      <c r="G56" s="137"/>
      <c r="H56" s="138"/>
      <c r="I56" s="91"/>
      <c r="J56" s="216"/>
      <c r="K56" s="216"/>
      <c r="M56" s="206" t="s">
        <v>36</v>
      </c>
      <c r="N56" s="206"/>
    </row>
    <row r="57" spans="1:14" ht="15.75" customHeight="1">
      <c r="C57" s="139" t="s">
        <v>37</v>
      </c>
      <c r="D57" s="162">
        <v>0</v>
      </c>
      <c r="E57" s="108" t="e">
        <f>D57/D59</f>
        <v>#DIV/0!</v>
      </c>
      <c r="F57" s="107"/>
      <c r="G57" s="107" t="e">
        <f>G59*E57</f>
        <v>#DIV/0!</v>
      </c>
      <c r="H57" s="160" t="e">
        <f>F57-G57</f>
        <v>#DIV/0!</v>
      </c>
      <c r="J57" s="109"/>
      <c r="K57" s="110"/>
      <c r="L57" s="92"/>
    </row>
    <row r="58" spans="1:14">
      <c r="C58" s="139" t="s">
        <v>38</v>
      </c>
      <c r="D58" s="162">
        <v>0</v>
      </c>
      <c r="E58" s="108" t="e">
        <f>D58/D59</f>
        <v>#DIV/0!</v>
      </c>
      <c r="F58" s="107"/>
      <c r="G58" s="107" t="e">
        <f>G59*E58</f>
        <v>#DIV/0!</v>
      </c>
      <c r="H58" s="160" t="e">
        <f>F58-G58</f>
        <v>#DIV/0!</v>
      </c>
      <c r="J58" s="111"/>
      <c r="K58" s="112"/>
    </row>
    <row r="59" spans="1:14" ht="15.75" thickBot="1">
      <c r="A59" s="91"/>
      <c r="B59" s="91"/>
      <c r="C59" s="140" t="s">
        <v>19</v>
      </c>
      <c r="D59" s="163">
        <f>SUM(D57:D58)</f>
        <v>0</v>
      </c>
      <c r="E59" s="143" t="e">
        <f>SUM(E57:E58)</f>
        <v>#DIV/0!</v>
      </c>
      <c r="F59" s="142">
        <f>SUM(F57:F58)</f>
        <v>0</v>
      </c>
      <c r="G59" s="164">
        <f>F54</f>
        <v>0</v>
      </c>
      <c r="H59" s="159" t="e">
        <f>SUM(H57:H58)</f>
        <v>#DIV/0!</v>
      </c>
      <c r="I59" s="91"/>
      <c r="J59" s="113"/>
      <c r="K59" s="114"/>
      <c r="L59" s="91"/>
    </row>
    <row r="60" spans="1:14">
      <c r="A60" s="91"/>
      <c r="B60" s="91"/>
      <c r="C60" s="113"/>
      <c r="D60" s="156"/>
      <c r="E60" s="157"/>
      <c r="F60" s="114"/>
      <c r="G60" s="114"/>
      <c r="H60" s="158"/>
      <c r="I60" s="91"/>
      <c r="J60" s="113"/>
      <c r="K60" s="114"/>
      <c r="L60" s="91"/>
    </row>
    <row r="61" spans="1:14" ht="15.75" thickBot="1">
      <c r="C61" s="93"/>
      <c r="D61" s="115"/>
      <c r="E61" s="93"/>
      <c r="F61" s="93"/>
      <c r="M61" s="169" t="s">
        <v>39</v>
      </c>
    </row>
    <row r="62" spans="1:14">
      <c r="C62" s="135" t="s">
        <v>40</v>
      </c>
      <c r="D62" s="136" t="s">
        <v>41</v>
      </c>
      <c r="E62" s="137" t="s">
        <v>42</v>
      </c>
      <c r="F62" s="137" t="s">
        <v>43</v>
      </c>
      <c r="G62" s="137" t="s">
        <v>44</v>
      </c>
      <c r="H62" s="137" t="s">
        <v>45</v>
      </c>
      <c r="I62" s="137" t="s">
        <v>46</v>
      </c>
      <c r="J62" s="137" t="s">
        <v>47</v>
      </c>
      <c r="K62" s="138" t="s">
        <v>19</v>
      </c>
      <c r="L62" s="134" t="s">
        <v>48</v>
      </c>
      <c r="M62" s="116" t="s">
        <v>49</v>
      </c>
    </row>
    <row r="63" spans="1:14">
      <c r="C63" s="139" t="s">
        <v>50</v>
      </c>
      <c r="D63" s="144">
        <f>D59</f>
        <v>0</v>
      </c>
      <c r="E63" s="144" t="e">
        <f>E65*E57</f>
        <v>#DIV/0!</v>
      </c>
      <c r="F63" s="166" t="e">
        <f>F65*E57</f>
        <v>#DIV/0!</v>
      </c>
      <c r="G63" s="166" t="e">
        <f>G65*E57</f>
        <v>#DIV/0!</v>
      </c>
      <c r="H63" s="166" t="e">
        <f>H65*E57</f>
        <v>#DIV/0!</v>
      </c>
      <c r="I63" s="166" t="e">
        <f>I65*E57</f>
        <v>#DIV/0!</v>
      </c>
      <c r="J63" s="166" t="e">
        <f>J65*E57</f>
        <v>#DIV/0!</v>
      </c>
      <c r="K63" s="145" t="e">
        <f>SUM(D63:J63)</f>
        <v>#DIV/0!</v>
      </c>
      <c r="L63" s="167">
        <v>0</v>
      </c>
      <c r="M63" s="104" t="e">
        <f>K63-L63</f>
        <v>#DIV/0!</v>
      </c>
    </row>
    <row r="64" spans="1:14">
      <c r="C64" s="139" t="s">
        <v>51</v>
      </c>
      <c r="D64" s="144" t="e">
        <f>H58</f>
        <v>#DIV/0!</v>
      </c>
      <c r="E64" s="144" t="e">
        <f>E65*E58</f>
        <v>#DIV/0!</v>
      </c>
      <c r="F64" s="144" t="e">
        <f>F65*E58</f>
        <v>#DIV/0!</v>
      </c>
      <c r="G64" s="144" t="e">
        <f>G65*E58</f>
        <v>#DIV/0!</v>
      </c>
      <c r="H64" s="144" t="e">
        <f>H65*E58</f>
        <v>#DIV/0!</v>
      </c>
      <c r="I64" s="144" t="e">
        <f>I65*E58</f>
        <v>#DIV/0!</v>
      </c>
      <c r="J64" s="144" t="e">
        <f>J65*E58</f>
        <v>#DIV/0!</v>
      </c>
      <c r="K64" s="145" t="e">
        <f>SUM(D64:J64)</f>
        <v>#DIV/0!</v>
      </c>
      <c r="L64" s="105"/>
      <c r="M64" s="105"/>
    </row>
    <row r="65" spans="2:14" ht="15.75" thickBot="1">
      <c r="C65" s="140" t="s">
        <v>19</v>
      </c>
      <c r="D65" s="146" t="e">
        <f>SUM(D63:D64)</f>
        <v>#DIV/0!</v>
      </c>
      <c r="E65" s="165">
        <f>I45</f>
        <v>0</v>
      </c>
      <c r="F65" s="146">
        <f>L74</f>
        <v>0</v>
      </c>
      <c r="G65" s="146">
        <f>I82</f>
        <v>0</v>
      </c>
      <c r="H65" s="146">
        <f>F90</f>
        <v>0</v>
      </c>
      <c r="I65" s="146">
        <f>J90</f>
        <v>0</v>
      </c>
      <c r="J65" s="146">
        <f>D97</f>
        <v>0</v>
      </c>
      <c r="K65" s="147" t="e">
        <f>SUM(K63)</f>
        <v>#DIV/0!</v>
      </c>
      <c r="L65" s="105"/>
      <c r="M65" s="105"/>
      <c r="N65" s="117"/>
    </row>
    <row r="66" spans="2:14" ht="15.75" thickBot="1">
      <c r="D66" s="92"/>
    </row>
    <row r="67" spans="2:14" ht="15.75">
      <c r="B67" s="203" t="s">
        <v>52</v>
      </c>
      <c r="C67" s="204"/>
      <c r="D67" s="204"/>
      <c r="E67" s="204"/>
      <c r="F67" s="204"/>
      <c r="G67" s="204"/>
      <c r="H67" s="204"/>
      <c r="I67" s="209"/>
      <c r="J67" s="213" t="s">
        <v>53</v>
      </c>
      <c r="K67" s="204"/>
      <c r="L67" s="205"/>
    </row>
    <row r="68" spans="2:14" ht="51">
      <c r="B68" s="60" t="s">
        <v>54</v>
      </c>
      <c r="C68" s="61" t="s">
        <v>55</v>
      </c>
      <c r="D68" s="61" t="s">
        <v>56</v>
      </c>
      <c r="E68" s="61" t="s">
        <v>57</v>
      </c>
      <c r="F68" s="61" t="s">
        <v>58</v>
      </c>
      <c r="G68" s="61" t="s">
        <v>59</v>
      </c>
      <c r="H68" s="62" t="s">
        <v>60</v>
      </c>
      <c r="I68" s="61" t="s">
        <v>61</v>
      </c>
      <c r="J68" s="63" t="s">
        <v>62</v>
      </c>
      <c r="K68" s="63" t="s">
        <v>63</v>
      </c>
      <c r="L68" s="64" t="s">
        <v>64</v>
      </c>
    </row>
    <row r="69" spans="2:14">
      <c r="B69" s="65" t="s">
        <v>65</v>
      </c>
      <c r="C69" s="66">
        <f>B10</f>
        <v>0</v>
      </c>
      <c r="D69" s="66">
        <f>B13</f>
        <v>0</v>
      </c>
      <c r="E69" s="67">
        <f>D57</f>
        <v>0</v>
      </c>
      <c r="F69" s="68" t="str">
        <f t="shared" ref="F69:F73" si="12">IF(C69=0,"",D69-C69)</f>
        <v/>
      </c>
      <c r="G69" s="68" t="s">
        <v>59</v>
      </c>
      <c r="H69" s="69">
        <v>0.35</v>
      </c>
      <c r="I69" s="148">
        <f t="shared" ref="I69:I73" si="13">IF(C69=0,0,+E69*H69)</f>
        <v>0</v>
      </c>
      <c r="J69" s="69"/>
      <c r="K69" s="151">
        <f t="shared" ref="K69:K73" si="14">(+I69)*J69</f>
        <v>0</v>
      </c>
      <c r="L69" s="152">
        <f t="shared" ref="L69:L73" si="15">+I69+K69</f>
        <v>0</v>
      </c>
    </row>
    <row r="70" spans="2:14" hidden="1">
      <c r="B70" s="65" t="s">
        <v>66</v>
      </c>
      <c r="C70" s="66"/>
      <c r="D70" s="66"/>
      <c r="E70" s="67"/>
      <c r="F70" s="68" t="str">
        <f t="shared" si="12"/>
        <v/>
      </c>
      <c r="G70" s="68" t="str">
        <f t="shared" ref="G70:G73" si="16">IF(F70="","",IF(F70&lt;30,"CDI","POUP"))</f>
        <v/>
      </c>
      <c r="H70" s="69"/>
      <c r="I70" s="148">
        <f t="shared" si="13"/>
        <v>0</v>
      </c>
      <c r="J70" s="69"/>
      <c r="K70" s="151">
        <f t="shared" si="14"/>
        <v>0</v>
      </c>
      <c r="L70" s="152">
        <f t="shared" si="15"/>
        <v>0</v>
      </c>
    </row>
    <row r="71" spans="2:14" hidden="1">
      <c r="B71" s="65" t="s">
        <v>67</v>
      </c>
      <c r="C71" s="66"/>
      <c r="D71" s="66"/>
      <c r="E71" s="67"/>
      <c r="F71" s="71" t="str">
        <f>IF(C71=0,"",D71-C71)</f>
        <v/>
      </c>
      <c r="G71" s="71" t="str">
        <f>IF(F71="","",IF(F71&lt;30,"CDI","POUP"))</f>
        <v/>
      </c>
      <c r="H71" s="69"/>
      <c r="I71" s="149">
        <f t="shared" si="13"/>
        <v>0</v>
      </c>
      <c r="J71" s="69"/>
      <c r="K71" s="151">
        <f t="shared" si="14"/>
        <v>0</v>
      </c>
      <c r="L71" s="152">
        <f t="shared" si="15"/>
        <v>0</v>
      </c>
    </row>
    <row r="72" spans="2:14" hidden="1">
      <c r="B72" s="65" t="s">
        <v>68</v>
      </c>
      <c r="C72" s="66"/>
      <c r="D72" s="66"/>
      <c r="E72" s="67"/>
      <c r="F72" s="71" t="str">
        <f t="shared" si="12"/>
        <v/>
      </c>
      <c r="G72" s="71" t="str">
        <f t="shared" si="16"/>
        <v/>
      </c>
      <c r="H72" s="69"/>
      <c r="I72" s="149">
        <f t="shared" si="13"/>
        <v>0</v>
      </c>
      <c r="J72" s="69"/>
      <c r="K72" s="151">
        <f t="shared" si="14"/>
        <v>0</v>
      </c>
      <c r="L72" s="152">
        <f t="shared" si="15"/>
        <v>0</v>
      </c>
    </row>
    <row r="73" spans="2:14" hidden="1">
      <c r="B73" s="65" t="s">
        <v>69</v>
      </c>
      <c r="C73" s="66"/>
      <c r="D73" s="66"/>
      <c r="E73" s="67"/>
      <c r="F73" s="71" t="str">
        <f t="shared" si="12"/>
        <v/>
      </c>
      <c r="G73" s="71" t="str">
        <f t="shared" si="16"/>
        <v/>
      </c>
      <c r="H73" s="69"/>
      <c r="I73" s="149">
        <f t="shared" si="13"/>
        <v>0</v>
      </c>
      <c r="J73" s="69"/>
      <c r="K73" s="151">
        <f t="shared" si="14"/>
        <v>0</v>
      </c>
      <c r="L73" s="152">
        <f t="shared" si="15"/>
        <v>0</v>
      </c>
    </row>
    <row r="74" spans="2:14" ht="15.75" thickBot="1">
      <c r="B74" s="196" t="s">
        <v>70</v>
      </c>
      <c r="C74" s="197"/>
      <c r="D74" s="197"/>
      <c r="E74" s="197"/>
      <c r="F74" s="197"/>
      <c r="G74" s="197"/>
      <c r="H74" s="198"/>
      <c r="I74" s="150">
        <f>SUM(I69:I73)</f>
        <v>0</v>
      </c>
      <c r="J74" s="207" t="s">
        <v>19</v>
      </c>
      <c r="K74" s="208"/>
      <c r="L74" s="153">
        <f>SUM(L69:L73)</f>
        <v>0</v>
      </c>
    </row>
    <row r="75" spans="2:14">
      <c r="C75" s="101"/>
      <c r="D75" s="118"/>
    </row>
    <row r="76" spans="2:14" ht="48.75" hidden="1" customHeight="1" thickBot="1">
      <c r="C76" s="101"/>
      <c r="D76" s="118"/>
    </row>
    <row r="77" spans="2:14" ht="15.75" hidden="1">
      <c r="B77" s="203" t="s">
        <v>71</v>
      </c>
      <c r="C77" s="204"/>
      <c r="D77" s="204"/>
      <c r="E77" s="204"/>
      <c r="F77" s="204"/>
      <c r="G77" s="204"/>
      <c r="H77" s="204"/>
      <c r="I77" s="205"/>
      <c r="J77" s="120"/>
    </row>
    <row r="78" spans="2:14" ht="51" hidden="1">
      <c r="B78" s="60" t="s">
        <v>54</v>
      </c>
      <c r="C78" s="61" t="s">
        <v>55</v>
      </c>
      <c r="D78" s="61" t="s">
        <v>72</v>
      </c>
      <c r="E78" s="61" t="s">
        <v>57</v>
      </c>
      <c r="F78" s="61" t="s">
        <v>58</v>
      </c>
      <c r="G78" s="61" t="s">
        <v>73</v>
      </c>
      <c r="H78" s="62" t="s">
        <v>60</v>
      </c>
      <c r="I78" s="124" t="s">
        <v>61</v>
      </c>
      <c r="J78" s="121"/>
    </row>
    <row r="79" spans="2:14" hidden="1">
      <c r="B79" s="199" t="s">
        <v>74</v>
      </c>
      <c r="C79" s="66"/>
      <c r="D79" s="66"/>
      <c r="E79" s="67"/>
      <c r="F79" s="68" t="str">
        <f t="shared" ref="F79:F80" si="17">IF(C79=0,"",D79-C79)</f>
        <v/>
      </c>
      <c r="G79" s="68" t="str">
        <f t="shared" ref="G79:G80" si="18">IF(F79="","",IF(F79&lt;30,"CDI","POUP"))</f>
        <v/>
      </c>
      <c r="H79" s="69"/>
      <c r="I79" s="125">
        <f t="shared" ref="I79:I81" si="19">IF(C79=0,0,+E79*H79)</f>
        <v>0</v>
      </c>
      <c r="J79" s="122"/>
    </row>
    <row r="80" spans="2:14" hidden="1">
      <c r="B80" s="200"/>
      <c r="C80" s="66"/>
      <c r="D80" s="66"/>
      <c r="E80" s="67"/>
      <c r="F80" s="68" t="str">
        <f t="shared" si="17"/>
        <v/>
      </c>
      <c r="G80" s="68" t="str">
        <f t="shared" si="18"/>
        <v/>
      </c>
      <c r="H80" s="69"/>
      <c r="I80" s="125">
        <f t="shared" si="19"/>
        <v>0</v>
      </c>
      <c r="J80" s="122"/>
    </row>
    <row r="81" spans="2:10" hidden="1">
      <c r="B81" s="201"/>
      <c r="C81" s="66"/>
      <c r="D81" s="66"/>
      <c r="E81" s="67"/>
      <c r="F81" s="71" t="str">
        <f>IF(C81=0,"",D81-C81)</f>
        <v/>
      </c>
      <c r="G81" s="71" t="str">
        <f>IF(F81="","",IF(F81&lt;30,"CDI","POUP"))</f>
        <v/>
      </c>
      <c r="H81" s="69"/>
      <c r="I81" s="126">
        <f t="shared" si="19"/>
        <v>0</v>
      </c>
      <c r="J81" s="122"/>
    </row>
    <row r="82" spans="2:10" ht="15.75" hidden="1" thickBot="1">
      <c r="B82" s="196" t="s">
        <v>75</v>
      </c>
      <c r="C82" s="197"/>
      <c r="D82" s="197"/>
      <c r="E82" s="197"/>
      <c r="F82" s="198"/>
      <c r="G82" s="202" t="s">
        <v>76</v>
      </c>
      <c r="H82" s="202"/>
      <c r="I82" s="128">
        <f>SUM(I79:I81)</f>
        <v>0</v>
      </c>
      <c r="J82" s="123"/>
    </row>
    <row r="83" spans="2:10" hidden="1"/>
    <row r="84" spans="2:10" ht="15.75" hidden="1" thickBot="1"/>
    <row r="85" spans="2:10" ht="15.75" hidden="1">
      <c r="B85" s="193" t="s">
        <v>45</v>
      </c>
      <c r="C85" s="194"/>
      <c r="D85" s="194"/>
      <c r="E85" s="194"/>
      <c r="F85" s="194"/>
      <c r="G85" s="194"/>
      <c r="H85" s="194"/>
      <c r="I85" s="194"/>
      <c r="J85" s="195"/>
    </row>
    <row r="86" spans="2:10" ht="38.25" hidden="1">
      <c r="B86" s="60" t="s">
        <v>54</v>
      </c>
      <c r="C86" s="119" t="s">
        <v>77</v>
      </c>
      <c r="D86" s="61" t="s">
        <v>78</v>
      </c>
      <c r="E86" s="61" t="s">
        <v>79</v>
      </c>
      <c r="F86" s="61" t="s">
        <v>57</v>
      </c>
      <c r="G86" s="61" t="s">
        <v>58</v>
      </c>
      <c r="H86" s="61" t="s">
        <v>73</v>
      </c>
      <c r="I86" s="62" t="s">
        <v>60</v>
      </c>
      <c r="J86" s="124" t="s">
        <v>61</v>
      </c>
    </row>
    <row r="87" spans="2:10" hidden="1">
      <c r="B87" s="129" t="s">
        <v>80</v>
      </c>
      <c r="C87" s="98"/>
      <c r="D87" s="99"/>
      <c r="E87" s="99"/>
      <c r="F87" s="107"/>
      <c r="G87" s="68" t="str">
        <f t="shared" ref="G87:G89" si="20">IF(D87=0,"",E87-D87)</f>
        <v/>
      </c>
      <c r="H87" s="68" t="str">
        <f t="shared" ref="H87:H89" si="21">IF(G87="","",IF(G87&lt;30,"CDI","POUP"))</f>
        <v/>
      </c>
      <c r="I87" s="69"/>
      <c r="J87" s="70">
        <f t="shared" ref="J87:J89" si="22">IF(D87=0,0,+F87*I87)</f>
        <v>0</v>
      </c>
    </row>
    <row r="88" spans="2:10" hidden="1">
      <c r="B88" s="129" t="s">
        <v>81</v>
      </c>
      <c r="C88" s="98"/>
      <c r="D88" s="99"/>
      <c r="E88" s="99"/>
      <c r="F88" s="107"/>
      <c r="G88" s="68" t="str">
        <f t="shared" si="20"/>
        <v/>
      </c>
      <c r="H88" s="68" t="str">
        <f t="shared" si="21"/>
        <v/>
      </c>
      <c r="I88" s="69"/>
      <c r="J88" s="70">
        <f t="shared" si="22"/>
        <v>0</v>
      </c>
    </row>
    <row r="89" spans="2:10" hidden="1">
      <c r="B89" s="129"/>
      <c r="C89" s="98"/>
      <c r="D89" s="99"/>
      <c r="E89" s="99"/>
      <c r="F89" s="107"/>
      <c r="G89" s="68" t="str">
        <f t="shared" si="20"/>
        <v/>
      </c>
      <c r="H89" s="68" t="str">
        <f t="shared" si="21"/>
        <v/>
      </c>
      <c r="I89" s="69"/>
      <c r="J89" s="70">
        <f t="shared" si="22"/>
        <v>0</v>
      </c>
    </row>
    <row r="90" spans="2:10" ht="15.75" hidden="1" thickBot="1">
      <c r="B90" s="196" t="s">
        <v>82</v>
      </c>
      <c r="C90" s="197"/>
      <c r="D90" s="197"/>
      <c r="E90" s="198"/>
      <c r="F90" s="127">
        <f>SUM(F87:F89)</f>
        <v>0</v>
      </c>
      <c r="G90" s="197" t="s">
        <v>76</v>
      </c>
      <c r="H90" s="197"/>
      <c r="I90" s="198"/>
      <c r="J90" s="130">
        <f>SUM(J87:J89)</f>
        <v>0</v>
      </c>
    </row>
    <row r="91" spans="2:10" ht="15.75" hidden="1" thickBot="1"/>
    <row r="92" spans="2:10" ht="15.75" hidden="1" thickBot="1">
      <c r="B92" s="189" t="s">
        <v>83</v>
      </c>
      <c r="C92" s="190"/>
      <c r="D92" s="191"/>
    </row>
    <row r="93" spans="2:10" hidden="1">
      <c r="B93" s="131" t="s">
        <v>84</v>
      </c>
      <c r="C93" s="72" t="s">
        <v>85</v>
      </c>
      <c r="D93" s="132"/>
    </row>
    <row r="94" spans="2:10" ht="15.75" hidden="1" thickBot="1">
      <c r="B94" s="131" t="s">
        <v>86</v>
      </c>
      <c r="C94" s="72" t="s">
        <v>87</v>
      </c>
      <c r="D94" s="133"/>
    </row>
    <row r="95" spans="2:10" hidden="1">
      <c r="B95" s="131"/>
      <c r="C95" s="91" t="s">
        <v>88</v>
      </c>
      <c r="D95" s="155">
        <f>SUM(D93:D94)</f>
        <v>0</v>
      </c>
    </row>
    <row r="96" spans="2:10" ht="15.75" hidden="1" thickBot="1">
      <c r="B96" s="131" t="s">
        <v>89</v>
      </c>
      <c r="C96" s="72" t="s">
        <v>90</v>
      </c>
      <c r="D96" s="133"/>
    </row>
    <row r="97" spans="2:4" ht="15.75" hidden="1" thickBot="1">
      <c r="B97" s="187" t="s">
        <v>91</v>
      </c>
      <c r="C97" s="188"/>
      <c r="D97" s="154">
        <f>D95-D96</f>
        <v>0</v>
      </c>
    </row>
    <row r="98" spans="2:4" hidden="1"/>
    <row r="99" spans="2:4" ht="15.75" hidden="1" thickBot="1"/>
    <row r="100" spans="2:4" ht="15.75" hidden="1" thickBot="1">
      <c r="B100" s="168"/>
      <c r="C100" s="72" t="s">
        <v>92</v>
      </c>
    </row>
    <row r="101" spans="2:4" hidden="1"/>
    <row r="102" spans="2:4" hidden="1"/>
    <row r="103" spans="2:4" hidden="1"/>
    <row r="104" spans="2:4" hidden="1"/>
    <row r="105" spans="2:4" hidden="1"/>
    <row r="106" spans="2:4" hidden="1"/>
    <row r="107" spans="2:4" hidden="1"/>
    <row r="108" spans="2:4" hidden="1"/>
    <row r="109" spans="2:4" hidden="1"/>
    <row r="110" spans="2:4" hidden="1"/>
    <row r="111" spans="2:4" hidden="1"/>
    <row r="112" spans="2:4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spans="2:4" hidden="1"/>
    <row r="130" spans="2:4" hidden="1"/>
    <row r="131" spans="2:4" hidden="1"/>
    <row r="132" spans="2:4" hidden="1"/>
    <row r="133" spans="2:4" hidden="1"/>
    <row r="134" spans="2:4" hidden="1"/>
    <row r="135" spans="2:4" hidden="1"/>
    <row r="136" spans="2:4" ht="15.75">
      <c r="B136" s="182" t="s">
        <v>93</v>
      </c>
      <c r="C136" s="183"/>
      <c r="D136" s="184"/>
    </row>
    <row r="137" spans="2:4" ht="15.75">
      <c r="B137" s="175" t="s">
        <v>94</v>
      </c>
      <c r="C137" s="180" t="s">
        <v>95</v>
      </c>
      <c r="D137" s="181"/>
    </row>
    <row r="138" spans="2:4" ht="15.75">
      <c r="B138" s="173" t="s">
        <v>96</v>
      </c>
      <c r="C138" s="185">
        <f>D57</f>
        <v>0</v>
      </c>
      <c r="D138" s="186"/>
    </row>
    <row r="139" spans="2:4" ht="31.5">
      <c r="B139" s="173" t="s">
        <v>97</v>
      </c>
      <c r="C139" s="178"/>
      <c r="D139" s="179"/>
    </row>
    <row r="140" spans="2:4" ht="47.25">
      <c r="B140" s="174" t="s">
        <v>98</v>
      </c>
      <c r="C140" s="176">
        <f>C138+C139</f>
        <v>0</v>
      </c>
      <c r="D140" s="177"/>
    </row>
    <row r="141" spans="2:4" ht="31.5">
      <c r="B141" s="173" t="s">
        <v>99</v>
      </c>
      <c r="C141" s="185">
        <f>L63</f>
        <v>0</v>
      </c>
      <c r="D141" s="186"/>
    </row>
    <row r="142" spans="2:4" ht="15.75">
      <c r="B142" s="174" t="s">
        <v>100</v>
      </c>
      <c r="C142" s="176">
        <f>SUM(C136:D141)</f>
        <v>0</v>
      </c>
      <c r="D142" s="177"/>
    </row>
    <row r="143" spans="2:4" ht="63">
      <c r="B143" s="173" t="s">
        <v>101</v>
      </c>
      <c r="C143" s="178"/>
      <c r="D143" s="179"/>
    </row>
    <row r="144" spans="2:4" ht="31.5">
      <c r="B144" s="174" t="s">
        <v>102</v>
      </c>
      <c r="C144" s="176">
        <f>C142+C143</f>
        <v>0</v>
      </c>
      <c r="D144" s="177"/>
    </row>
  </sheetData>
  <autoFilter ref="B9:P45" xr:uid="{00000000-0009-0000-0000-000000000000}"/>
  <mergeCells count="30">
    <mergeCell ref="B5:L5"/>
    <mergeCell ref="J67:L67"/>
    <mergeCell ref="C56:D56"/>
    <mergeCell ref="J56:K56"/>
    <mergeCell ref="B3:L3"/>
    <mergeCell ref="M56:N56"/>
    <mergeCell ref="J74:K74"/>
    <mergeCell ref="B67:I67"/>
    <mergeCell ref="B74:H74"/>
    <mergeCell ref="C7:E7"/>
    <mergeCell ref="C8:F8"/>
    <mergeCell ref="B97:C97"/>
    <mergeCell ref="B92:D92"/>
    <mergeCell ref="B54:E54"/>
    <mergeCell ref="B85:J85"/>
    <mergeCell ref="B90:E90"/>
    <mergeCell ref="G90:I90"/>
    <mergeCell ref="B79:B81"/>
    <mergeCell ref="G82:H82"/>
    <mergeCell ref="B77:I77"/>
    <mergeCell ref="B82:F82"/>
    <mergeCell ref="C142:D142"/>
    <mergeCell ref="C143:D143"/>
    <mergeCell ref="C144:D144"/>
    <mergeCell ref="C137:D137"/>
    <mergeCell ref="B136:D136"/>
    <mergeCell ref="C138:D138"/>
    <mergeCell ref="C139:D139"/>
    <mergeCell ref="C140:D140"/>
    <mergeCell ref="C141:D141"/>
  </mergeCells>
  <pageMargins left="0.51181102362204722" right="0.51181102362204722" top="0.78740157480314965" bottom="0.78740157480314965" header="0.31496062992125984" footer="0.31496062992125984"/>
  <pageSetup paperSize="9" scale="56" fitToHeight="0" orientation="landscape" r:id="rId1"/>
  <headerFooter>
    <oddHeader>&amp;L&amp;G</oddHead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2"/>
  <sheetViews>
    <sheetView workbookViewId="0">
      <selection activeCell="M20" sqref="M20"/>
    </sheetView>
  </sheetViews>
  <sheetFormatPr defaultColWidth="9.140625" defaultRowHeight="12.75"/>
  <cols>
    <col min="1" max="1" width="2.5703125" style="2" customWidth="1"/>
    <col min="2" max="2" width="17" style="1" customWidth="1"/>
    <col min="3" max="3" width="19.140625" style="1" customWidth="1"/>
    <col min="4" max="4" width="13.7109375" style="1" customWidth="1"/>
    <col min="5" max="5" width="12.42578125" style="1" customWidth="1"/>
    <col min="6" max="6" width="11" style="1" customWidth="1"/>
    <col min="7" max="7" width="12.140625" style="1" customWidth="1"/>
    <col min="8" max="8" width="11" style="1" bestFit="1" customWidth="1"/>
    <col min="9" max="9" width="10.5703125" style="1" customWidth="1"/>
    <col min="10" max="10" width="11" style="1" bestFit="1" customWidth="1"/>
    <col min="11" max="11" width="11.28515625" style="1" bestFit="1" customWidth="1"/>
    <col min="12" max="12" width="11.42578125" style="1" customWidth="1"/>
    <col min="13" max="14" width="11.28515625" style="1" bestFit="1" customWidth="1"/>
    <col min="15" max="15" width="12" style="1" customWidth="1"/>
    <col min="16" max="16" width="11.28515625" style="1" bestFit="1" customWidth="1"/>
    <col min="17" max="18" width="9.140625" style="1"/>
    <col min="19" max="19" width="25" style="1" customWidth="1"/>
    <col min="20" max="20" width="11" style="1" bestFit="1" customWidth="1"/>
    <col min="21" max="16384" width="9.140625" style="1"/>
  </cols>
  <sheetData>
    <row r="1" spans="2:18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2:18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2:18" ht="18.75">
      <c r="B3" s="219" t="s">
        <v>103</v>
      </c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"/>
    </row>
    <row r="4" spans="2:18" ht="16.5" customHeight="1">
      <c r="B4" s="50" t="s">
        <v>104</v>
      </c>
      <c r="C4" s="222" t="str">
        <f>'CONCILIAÇÃO FINANCEIRA - GECOV'!C7:E7</f>
        <v>SERRA DA SAUDADE</v>
      </c>
      <c r="D4" s="219"/>
      <c r="E4" s="219"/>
      <c r="F4" s="219"/>
      <c r="G4" s="219"/>
      <c r="H4" s="58"/>
      <c r="I4" s="58"/>
      <c r="J4" s="58"/>
      <c r="K4" s="58"/>
      <c r="L4" s="58"/>
      <c r="M4" s="58"/>
      <c r="N4" s="58"/>
      <c r="O4" s="58"/>
      <c r="P4" s="58"/>
      <c r="Q4" s="2"/>
    </row>
    <row r="5" spans="2:18" ht="18.75">
      <c r="B5" s="49" t="s">
        <v>105</v>
      </c>
      <c r="C5" s="48" t="str">
        <f>'CONCILIAÇÃO FINANCEIRA - GECOV'!C6</f>
        <v>650/2014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8">
      <c r="B6" s="220" t="s">
        <v>106</v>
      </c>
      <c r="C6" s="221" t="s">
        <v>107</v>
      </c>
      <c r="D6" s="220" t="s">
        <v>108</v>
      </c>
      <c r="E6" s="221" t="s">
        <v>109</v>
      </c>
      <c r="F6" s="220" t="s">
        <v>110</v>
      </c>
      <c r="G6" s="221" t="s">
        <v>111</v>
      </c>
      <c r="H6" s="220" t="s">
        <v>112</v>
      </c>
      <c r="I6" s="220"/>
      <c r="J6" s="220"/>
      <c r="K6" s="221" t="s">
        <v>113</v>
      </c>
      <c r="L6" s="221"/>
      <c r="M6" s="221"/>
      <c r="N6" s="221" t="s">
        <v>114</v>
      </c>
      <c r="O6" s="221"/>
      <c r="P6" s="221"/>
      <c r="Q6" s="2"/>
    </row>
    <row r="7" spans="2:18" ht="25.5">
      <c r="B7" s="220"/>
      <c r="C7" s="221"/>
      <c r="D7" s="220"/>
      <c r="E7" s="221"/>
      <c r="F7" s="220"/>
      <c r="G7" s="221"/>
      <c r="H7" s="47" t="s">
        <v>115</v>
      </c>
      <c r="I7" s="47" t="s">
        <v>110</v>
      </c>
      <c r="J7" s="47" t="s">
        <v>116</v>
      </c>
      <c r="K7" s="47" t="s">
        <v>115</v>
      </c>
      <c r="L7" s="47" t="s">
        <v>110</v>
      </c>
      <c r="M7" s="47" t="s">
        <v>116</v>
      </c>
      <c r="N7" s="47" t="s">
        <v>115</v>
      </c>
      <c r="O7" s="47" t="s">
        <v>110</v>
      </c>
      <c r="P7" s="47" t="s">
        <v>116</v>
      </c>
      <c r="Q7" s="2"/>
    </row>
    <row r="8" spans="2:18">
      <c r="B8" s="43" t="s">
        <v>117</v>
      </c>
      <c r="C8" s="161">
        <f>'CONCILIAÇÃO FINANCEIRA - GECOV'!D57</f>
        <v>0</v>
      </c>
      <c r="D8" s="46" t="e">
        <f>C8/C10*100</f>
        <v>#DIV/0!</v>
      </c>
      <c r="E8" s="39" t="e">
        <f>E10*D8%</f>
        <v>#DIV/0!</v>
      </c>
      <c r="F8" s="39" t="e">
        <f>F10*D8%</f>
        <v>#DIV/0!</v>
      </c>
      <c r="G8" s="41" t="e">
        <f>E20</f>
        <v>#DIV/0!</v>
      </c>
      <c r="H8" s="39" t="e">
        <f>IF(J8*(C8-E8)/(C8-E8+F8+G8)&gt;0,J8*(C8-E8)/(C8-E8+F8+G8),0)</f>
        <v>#DIV/0!</v>
      </c>
      <c r="I8" s="39" t="e">
        <f>IF(C8&gt;E8,J8*(F8+G8)/(C8-E8+F8+G8),E21)</f>
        <v>#DIV/0!</v>
      </c>
      <c r="J8" s="42">
        <f>E21</f>
        <v>0</v>
      </c>
      <c r="K8" s="39" t="e">
        <f>IF(C8-E8&gt;0,C8-E8,0)</f>
        <v>#DIV/0!</v>
      </c>
      <c r="L8" s="39" t="e">
        <f>IF(C8&gt;E8,F8+G8,F8+G8+C8-E8)</f>
        <v>#DIV/0!</v>
      </c>
      <c r="M8" s="39" t="e">
        <f>K8+L8</f>
        <v>#DIV/0!</v>
      </c>
      <c r="N8" s="39" t="e">
        <f>H8-K8</f>
        <v>#DIV/0!</v>
      </c>
      <c r="O8" s="39" t="e">
        <f>I8-L8-E17-E18</f>
        <v>#DIV/0!</v>
      </c>
      <c r="P8" s="39" t="e">
        <f>J8-M8-E17-E18</f>
        <v>#DIV/0!</v>
      </c>
      <c r="Q8" s="2"/>
    </row>
    <row r="9" spans="2:18">
      <c r="B9" s="43" t="s">
        <v>118</v>
      </c>
      <c r="C9" s="161">
        <f>'CONCILIAÇÃO FINANCEIRA - GECOV'!D58</f>
        <v>0</v>
      </c>
      <c r="D9" s="46" t="e">
        <f>C9/C10*100</f>
        <v>#DIV/0!</v>
      </c>
      <c r="E9" s="39" t="e">
        <f>E10*D9%</f>
        <v>#DIV/0!</v>
      </c>
      <c r="F9" s="39" t="e">
        <f>F10*D9%</f>
        <v>#DIV/0!</v>
      </c>
      <c r="G9" s="44">
        <v>0</v>
      </c>
      <c r="H9" s="44"/>
      <c r="I9" s="44"/>
      <c r="J9" s="45"/>
      <c r="K9" s="44"/>
      <c r="L9" s="44"/>
      <c r="M9" s="44"/>
      <c r="N9" s="44">
        <f>H9-K9</f>
        <v>0</v>
      </c>
      <c r="O9" s="44">
        <f>I9-L9</f>
        <v>0</v>
      </c>
      <c r="P9" s="44">
        <f>J9-M9</f>
        <v>0</v>
      </c>
      <c r="Q9" s="2"/>
    </row>
    <row r="10" spans="2:18">
      <c r="B10" s="43" t="s">
        <v>116</v>
      </c>
      <c r="C10" s="42">
        <f>C8+C9</f>
        <v>0</v>
      </c>
      <c r="D10" s="42" t="e">
        <f>D8+D9</f>
        <v>#DIV/0!</v>
      </c>
      <c r="E10" s="40">
        <f>'CONCILIAÇÃO FINANCEIRA - GECOV'!G59</f>
        <v>0</v>
      </c>
      <c r="F10" s="41">
        <f>'CONCILIAÇÃO FINANCEIRA - GECOV'!E65</f>
        <v>0</v>
      </c>
      <c r="G10" s="39" t="e">
        <f t="shared" ref="G10:L10" si="0">G8+G9</f>
        <v>#DIV/0!</v>
      </c>
      <c r="H10" s="39" t="e">
        <f t="shared" si="0"/>
        <v>#DIV/0!</v>
      </c>
      <c r="I10" s="39" t="e">
        <f t="shared" si="0"/>
        <v>#DIV/0!</v>
      </c>
      <c r="J10" s="40">
        <f t="shared" si="0"/>
        <v>0</v>
      </c>
      <c r="K10" s="39" t="e">
        <f t="shared" si="0"/>
        <v>#DIV/0!</v>
      </c>
      <c r="L10" s="39" t="e">
        <f t="shared" si="0"/>
        <v>#DIV/0!</v>
      </c>
      <c r="M10" s="39" t="e">
        <f>K10+L10</f>
        <v>#DIV/0!</v>
      </c>
      <c r="N10" s="39" t="e">
        <f>H10-K10</f>
        <v>#DIV/0!</v>
      </c>
      <c r="O10" s="39" t="e">
        <f>I10-L10-E17-E18</f>
        <v>#DIV/0!</v>
      </c>
      <c r="P10" s="39" t="e">
        <f>J10-M10-E17-E18</f>
        <v>#DIV/0!</v>
      </c>
      <c r="Q10" s="2"/>
    </row>
    <row r="11" spans="2:18">
      <c r="B11" s="2"/>
      <c r="C11" s="38"/>
      <c r="D11" s="38"/>
      <c r="E11" s="38"/>
      <c r="F11" s="13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2:18">
      <c r="B12" s="2"/>
      <c r="C12" s="38"/>
      <c r="D12" s="38"/>
      <c r="E12" s="38"/>
      <c r="F12" s="13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2:18">
      <c r="B13" s="218" t="s">
        <v>119</v>
      </c>
      <c r="C13" s="218"/>
      <c r="D13" s="218"/>
      <c r="E13" s="218"/>
      <c r="F13" s="13"/>
      <c r="G13" s="13"/>
      <c r="H13" s="2"/>
      <c r="I13" s="2"/>
      <c r="J13" s="2"/>
      <c r="K13" s="2"/>
      <c r="L13" s="2"/>
      <c r="M13" s="2"/>
      <c r="N13" s="13"/>
      <c r="O13" s="2"/>
      <c r="P13" s="2"/>
      <c r="Q13" s="2"/>
      <c r="R13" s="2"/>
    </row>
    <row r="14" spans="2:18">
      <c r="B14" s="223" t="s">
        <v>120</v>
      </c>
      <c r="C14" s="223"/>
      <c r="D14" s="223"/>
      <c r="E14" s="59">
        <f>C8</f>
        <v>0</v>
      </c>
      <c r="F14" s="13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2:18" ht="13.5" thickBot="1">
      <c r="B15" s="223" t="s">
        <v>121</v>
      </c>
      <c r="C15" s="223"/>
      <c r="D15" s="223"/>
      <c r="E15" s="59">
        <f>C9</f>
        <v>0</v>
      </c>
      <c r="F15" s="13"/>
      <c r="G15" s="13"/>
      <c r="H15" s="2"/>
      <c r="I15" s="37" t="s">
        <v>122</v>
      </c>
      <c r="J15" s="2"/>
      <c r="K15" s="2"/>
      <c r="L15" s="2"/>
      <c r="M15" s="2"/>
      <c r="N15" s="2"/>
      <c r="O15" s="2"/>
      <c r="P15" s="2"/>
      <c r="Q15" s="2"/>
      <c r="R15" s="2"/>
    </row>
    <row r="16" spans="2:18" ht="13.5" thickBot="1">
      <c r="B16" s="223" t="s">
        <v>123</v>
      </c>
      <c r="C16" s="223"/>
      <c r="D16" s="223"/>
      <c r="E16" s="59">
        <f>'CONCILIAÇÃO FINANCEIRA - GECOV'!F54</f>
        <v>0</v>
      </c>
      <c r="F16" s="13"/>
      <c r="G16" s="13"/>
      <c r="H16" s="2"/>
      <c r="I16" s="36" t="s">
        <v>124</v>
      </c>
      <c r="J16" s="35"/>
      <c r="K16" s="35"/>
      <c r="L16" s="35"/>
      <c r="M16" s="34">
        <f>M20+M21</f>
        <v>0</v>
      </c>
      <c r="N16" s="2"/>
      <c r="O16" s="13"/>
      <c r="P16" s="2"/>
      <c r="Q16" s="2"/>
      <c r="R16" s="2"/>
    </row>
    <row r="17" spans="2:20">
      <c r="B17" s="226" t="s">
        <v>125</v>
      </c>
      <c r="C17" s="227"/>
      <c r="D17" s="228"/>
      <c r="E17" s="51" t="e">
        <f>'CONCILIAÇÃO FINANCEIRA - GECOV'!H63</f>
        <v>#DIV/0!</v>
      </c>
      <c r="F17" s="13"/>
      <c r="G17" s="13"/>
      <c r="H17" s="2"/>
      <c r="I17" s="31" t="s">
        <v>126</v>
      </c>
      <c r="J17" s="33"/>
      <c r="K17" s="33"/>
      <c r="L17" s="33"/>
      <c r="M17" s="53"/>
      <c r="N17" s="2"/>
      <c r="O17" s="2"/>
      <c r="P17" s="2"/>
      <c r="Q17" s="2"/>
      <c r="R17" s="2"/>
    </row>
    <row r="18" spans="2:20">
      <c r="B18" s="55" t="s">
        <v>127</v>
      </c>
      <c r="C18" s="56"/>
      <c r="D18" s="57"/>
      <c r="E18" s="51"/>
      <c r="F18" s="13"/>
      <c r="G18" s="13"/>
      <c r="H18" s="2"/>
      <c r="I18" s="31" t="s">
        <v>128</v>
      </c>
      <c r="J18" s="33"/>
      <c r="K18" s="33"/>
      <c r="L18" s="33"/>
      <c r="M18" s="53"/>
      <c r="N18" s="2"/>
      <c r="O18" s="2"/>
      <c r="P18" s="13"/>
      <c r="Q18" s="2"/>
      <c r="R18" s="2"/>
    </row>
    <row r="19" spans="2:20">
      <c r="B19" s="223" t="s">
        <v>129</v>
      </c>
      <c r="C19" s="223"/>
      <c r="D19" s="223"/>
      <c r="E19" s="52">
        <f>'CONCILIAÇÃO FINANCEIRA - GECOV'!I45</f>
        <v>0</v>
      </c>
      <c r="F19" s="13"/>
      <c r="G19" s="13"/>
      <c r="H19" s="2"/>
      <c r="I19" s="31" t="s">
        <v>130</v>
      </c>
      <c r="J19" s="33"/>
      <c r="K19" s="33"/>
      <c r="L19" s="33"/>
      <c r="M19" s="32">
        <f>M20-M17-M18</f>
        <v>0</v>
      </c>
      <c r="N19" s="26"/>
      <c r="O19" s="2"/>
      <c r="P19" s="2"/>
      <c r="Q19" s="2"/>
      <c r="R19" s="2"/>
    </row>
    <row r="20" spans="2:20">
      <c r="B20" s="223" t="s">
        <v>111</v>
      </c>
      <c r="C20" s="223"/>
      <c r="D20" s="223"/>
      <c r="E20" s="52" t="e">
        <f>'CONCILIAÇÃO FINANCEIRA - GECOV'!F63+'CONCILIAÇÃO FINANCEIRA - GECOV'!G63+'CONCILIAÇÃO FINANCEIRA - GECOV'!I63+'CONCILIAÇÃO FINANCEIRA - GECOV'!J63</f>
        <v>#DIV/0!</v>
      </c>
      <c r="F20" s="13"/>
      <c r="G20" s="2"/>
      <c r="H20" s="2"/>
      <c r="I20" s="31" t="s">
        <v>131</v>
      </c>
      <c r="J20" s="2"/>
      <c r="K20" s="2"/>
      <c r="L20" s="2"/>
      <c r="M20" s="54">
        <f>'CONCILIAÇÃO FINANCEIRA - GECOV'!L63</f>
        <v>0</v>
      </c>
      <c r="N20" s="2"/>
      <c r="O20" s="13"/>
      <c r="P20" s="2"/>
      <c r="Q20" s="2"/>
      <c r="R20" s="2"/>
    </row>
    <row r="21" spans="2:20" ht="13.5" thickBot="1">
      <c r="B21" s="223" t="s">
        <v>132</v>
      </c>
      <c r="C21" s="223"/>
      <c r="D21" s="223"/>
      <c r="E21" s="30">
        <f>M16</f>
        <v>0</v>
      </c>
      <c r="F21" s="2"/>
      <c r="G21" s="2"/>
      <c r="H21" s="2"/>
      <c r="I21" s="29"/>
      <c r="J21" s="28"/>
      <c r="K21" s="28"/>
      <c r="L21" s="28"/>
      <c r="M21" s="27"/>
      <c r="N21" s="2"/>
      <c r="O21" s="13"/>
      <c r="P21" s="2"/>
      <c r="Q21" s="2"/>
      <c r="R21" s="2"/>
    </row>
    <row r="22" spans="2:20">
      <c r="B22" s="26" t="s">
        <v>133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2:20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13"/>
      <c r="P23" s="2"/>
      <c r="Q23" s="2"/>
      <c r="R23" s="2"/>
    </row>
    <row r="24" spans="2:20">
      <c r="B24" s="224" t="s">
        <v>134</v>
      </c>
      <c r="C24" s="224"/>
      <c r="D24" s="224"/>
      <c r="E24" s="2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2:20">
      <c r="B25" s="225" t="s">
        <v>135</v>
      </c>
      <c r="C25" s="225"/>
      <c r="D25" s="225"/>
      <c r="E25" s="24" t="e">
        <f>IF(E8&gt;C8,F8+G8+C8-E8,F8+G8)+E18</f>
        <v>#DIV/0!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2:20" ht="21">
      <c r="B26" s="229" t="s">
        <v>136</v>
      </c>
      <c r="C26" s="229"/>
      <c r="D26" s="229"/>
      <c r="E26" s="23" t="e">
        <f>IF(C8&gt;E8,E8,C8)-E17</f>
        <v>#DIV/0!</v>
      </c>
      <c r="F26" s="2"/>
      <c r="G26" s="2"/>
      <c r="H26" s="2"/>
      <c r="I26" s="22" t="s">
        <v>137</v>
      </c>
      <c r="J26" s="22"/>
      <c r="K26" s="22"/>
      <c r="L26" s="22"/>
      <c r="M26" s="22"/>
      <c r="N26" s="2"/>
      <c r="O26" s="2"/>
      <c r="P26" s="2"/>
      <c r="Q26" s="2"/>
      <c r="R26" s="2"/>
    </row>
    <row r="27" spans="2:20">
      <c r="B27" s="234" t="s">
        <v>138</v>
      </c>
      <c r="C27" s="234"/>
      <c r="D27" s="234"/>
      <c r="E27" s="21" t="e">
        <f>IF(E26+K8=E14,E26+K8,C8)</f>
        <v>#DIV/0!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2:20">
      <c r="B28" s="2" t="s">
        <v>139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2:20">
      <c r="B29" s="2"/>
      <c r="C29" s="2"/>
      <c r="D29" s="2"/>
      <c r="E29" s="1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2:20" ht="13.5" thickBot="1">
      <c r="B30" s="2"/>
      <c r="C30" s="2"/>
      <c r="D30" s="2"/>
      <c r="E30" s="20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2:20" ht="13.5" thickBot="1">
      <c r="B31" s="235" t="s">
        <v>140</v>
      </c>
      <c r="C31" s="236"/>
      <c r="D31" s="236"/>
      <c r="E31" s="19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2:20">
      <c r="B32" s="237" t="s">
        <v>117</v>
      </c>
      <c r="C32" s="238"/>
      <c r="D32" s="238"/>
      <c r="E32" s="12" t="e">
        <f>L8+E18</f>
        <v>#DIV/0!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18" t="s">
        <v>107</v>
      </c>
      <c r="T32" s="17">
        <f>E14</f>
        <v>0</v>
      </c>
    </row>
    <row r="33" spans="2:21">
      <c r="B33" s="237" t="s">
        <v>141</v>
      </c>
      <c r="C33" s="238"/>
      <c r="D33" s="238"/>
      <c r="E33" s="12" t="e">
        <f>K8+E17</f>
        <v>#DIV/0!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9" t="s">
        <v>142</v>
      </c>
      <c r="T33" s="8" t="e">
        <f>E8</f>
        <v>#DIV/0!</v>
      </c>
      <c r="U33" s="16" t="e">
        <f>T32-T33</f>
        <v>#DIV/0!</v>
      </c>
    </row>
    <row r="34" spans="2:21">
      <c r="B34" s="239" t="s">
        <v>143</v>
      </c>
      <c r="C34" s="240"/>
      <c r="D34" s="240"/>
      <c r="E34" s="15" t="e">
        <f>E32+E33</f>
        <v>#DIV/0!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9" t="s">
        <v>144</v>
      </c>
      <c r="T34" s="8" t="e">
        <f>F8</f>
        <v>#DIV/0!</v>
      </c>
      <c r="U34" s="1">
        <v>2966.4</v>
      </c>
    </row>
    <row r="35" spans="2:21">
      <c r="B35" s="230" t="s">
        <v>145</v>
      </c>
      <c r="C35" s="231"/>
      <c r="D35" s="231"/>
      <c r="E35" s="14" t="e">
        <f>IF(P8&gt;0,P8,0)</f>
        <v>#DIV/0!</v>
      </c>
      <c r="F35" s="2"/>
      <c r="G35" s="1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9" t="s">
        <v>111</v>
      </c>
      <c r="T35" s="8" t="e">
        <f>G8</f>
        <v>#DIV/0!</v>
      </c>
    </row>
    <row r="36" spans="2:21">
      <c r="B36" s="230" t="s">
        <v>146</v>
      </c>
      <c r="C36" s="231"/>
      <c r="D36" s="231"/>
      <c r="E36" s="12" t="e">
        <f>IF(P8&lt;0,-P10,0)</f>
        <v>#DIV/0!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9" t="s">
        <v>147</v>
      </c>
      <c r="T36" s="8" t="e">
        <f>E17+E18</f>
        <v>#DIV/0!</v>
      </c>
    </row>
    <row r="37" spans="2:21" ht="13.5" thickBot="1">
      <c r="B37" s="232" t="s">
        <v>148</v>
      </c>
      <c r="C37" s="233"/>
      <c r="D37" s="233"/>
      <c r="E37" s="11" t="e">
        <f>E34+E35-E36</f>
        <v>#DIV/0!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9"/>
      <c r="T37" s="10"/>
    </row>
    <row r="38" spans="2:21">
      <c r="B38" s="2"/>
      <c r="C38" s="2"/>
      <c r="D38" s="2"/>
      <c r="E38" s="2"/>
      <c r="F38" s="2"/>
      <c r="G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9" t="s">
        <v>149</v>
      </c>
      <c r="T38" s="8">
        <f>E21</f>
        <v>0</v>
      </c>
    </row>
    <row r="39" spans="2:21">
      <c r="B39" s="2"/>
      <c r="C39" s="2"/>
      <c r="D39" s="2"/>
      <c r="E39" s="2"/>
      <c r="F39" s="2"/>
      <c r="G39" s="2"/>
      <c r="M39" s="2"/>
      <c r="N39" s="2"/>
      <c r="O39" s="2"/>
      <c r="S39" s="7"/>
      <c r="T39" s="6"/>
    </row>
    <row r="40" spans="2:21" ht="13.5" thickBot="1">
      <c r="B40" s="2"/>
      <c r="C40" s="2"/>
      <c r="D40" s="2"/>
      <c r="E40" s="2"/>
      <c r="F40" s="2"/>
      <c r="G40" s="2"/>
      <c r="S40" s="5" t="s">
        <v>150</v>
      </c>
      <c r="T40" s="4" t="e">
        <f>T32-T33+T34+T35-T38+T36</f>
        <v>#DIV/0!</v>
      </c>
      <c r="U40" s="3" t="e">
        <f>IF(-T40=P10,"OK","****erro****")</f>
        <v>#DIV/0!</v>
      </c>
    </row>
    <row r="41" spans="2:21">
      <c r="B41" s="2"/>
      <c r="C41" s="2"/>
      <c r="D41" s="2"/>
      <c r="E41" s="2"/>
    </row>
    <row r="42" spans="2:21">
      <c r="B42" s="2"/>
      <c r="C42" s="2"/>
      <c r="D42" s="2"/>
      <c r="E42" s="2"/>
    </row>
  </sheetData>
  <sheetProtection selectLockedCells="1"/>
  <protectedRanges>
    <protectedRange sqref="E14:E20 M17:M18 M20:M21" name="Intervalo1"/>
  </protectedRanges>
  <mergeCells count="30">
    <mergeCell ref="B26:D26"/>
    <mergeCell ref="B36:D36"/>
    <mergeCell ref="B37:D37"/>
    <mergeCell ref="B27:D27"/>
    <mergeCell ref="B31:D31"/>
    <mergeCell ref="B32:D32"/>
    <mergeCell ref="B33:D33"/>
    <mergeCell ref="B34:D34"/>
    <mergeCell ref="B35:D35"/>
    <mergeCell ref="B14:D14"/>
    <mergeCell ref="B15:D15"/>
    <mergeCell ref="B16:D16"/>
    <mergeCell ref="B24:D24"/>
    <mergeCell ref="B25:D25"/>
    <mergeCell ref="B17:D17"/>
    <mergeCell ref="B19:D19"/>
    <mergeCell ref="B20:D20"/>
    <mergeCell ref="B21:D21"/>
    <mergeCell ref="B13:E13"/>
    <mergeCell ref="B3:P3"/>
    <mergeCell ref="B6:B7"/>
    <mergeCell ref="C6:C7"/>
    <mergeCell ref="D6:D7"/>
    <mergeCell ref="E6:E7"/>
    <mergeCell ref="F6:F7"/>
    <mergeCell ref="G6:G7"/>
    <mergeCell ref="H6:J6"/>
    <mergeCell ref="K6:M6"/>
    <mergeCell ref="N6:P6"/>
    <mergeCell ref="C4:G4"/>
  </mergeCells>
  <pageMargins left="0.51181102362204722" right="0.51181102362204722" top="0.78740157480314965" bottom="0.78740157480314965" header="0.31496062992125984" footer="0.31496062992125984"/>
  <pageSetup paperSize="9" scale="53" orientation="landscape" horizontalDpi="300" verticalDpi="300" r:id="rId1"/>
  <headerFooter>
    <oddHeader>&amp;L&amp;G</oddHeader>
    <oddFooter>&amp;A&amp;RPágina &amp;P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4d09f0-56df-423b-92e5-75650b3356a2" xsi:nil="true"/>
    <lcf76f155ced4ddcb4097134ff3c332f xmlns="5eb5d589-dbdd-4f3f-b74b-9cfd9011a81a">
      <Terms xmlns="http://schemas.microsoft.com/office/infopath/2007/PartnerControls"/>
    </lcf76f155ced4ddcb4097134ff3c332f>
    <_Flow_SignoffStatus xmlns="5eb5d589-dbdd-4f3f-b74b-9cfd9011a81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4C49D281836D4E92FD382DEA1B6B69" ma:contentTypeVersion="16" ma:contentTypeDescription="Crie um novo documento." ma:contentTypeScope="" ma:versionID="c9c5ab7ab59fdd6094d4fb94303f4c09">
  <xsd:schema xmlns:xsd="http://www.w3.org/2001/XMLSchema" xmlns:xs="http://www.w3.org/2001/XMLSchema" xmlns:p="http://schemas.microsoft.com/office/2006/metadata/properties" xmlns:ns2="5eb5d589-dbdd-4f3f-b74b-9cfd9011a81a" xmlns:ns3="414d09f0-56df-423b-92e5-75650b3356a2" targetNamespace="http://schemas.microsoft.com/office/2006/metadata/properties" ma:root="true" ma:fieldsID="8cbab583ee36b893f1481fac439dc718" ns2:_="" ns3:_="">
    <xsd:import namespace="5eb5d589-dbdd-4f3f-b74b-9cfd9011a81a"/>
    <xsd:import namespace="414d09f0-56df-423b-92e5-75650b3356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b5d589-dbdd-4f3f-b74b-9cfd9011a8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1" nillable="true" ma:displayName="Status de liberação" ma:internalName="Status_x0020_de_x0020_libera_x00e7__x00e3_o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d09f0-56df-423b-92e5-75650b3356a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aaa2f68-0617-449f-bd70-874c3a12be29}" ma:internalName="TaxCatchAll" ma:showField="CatchAllData" ma:web="414d09f0-56df-423b-92e5-75650b3356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9588A6-8F94-4D6C-A4BF-B4DEF8AFC629}"/>
</file>

<file path=customXml/itemProps2.xml><?xml version="1.0" encoding="utf-8"?>
<ds:datastoreItem xmlns:ds="http://schemas.openxmlformats.org/officeDocument/2006/customXml" ds:itemID="{EDED8F12-BFD0-4363-8886-EFDE7EBB6A83}"/>
</file>

<file path=customXml/itemProps3.xml><?xml version="1.0" encoding="utf-8"?>
<ds:datastoreItem xmlns:ds="http://schemas.openxmlformats.org/officeDocument/2006/customXml" ds:itemID="{4E331590-F6E7-4884-A994-1FA37530AB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Débora Cristina Barcelos de Lima</dc:creator>
  <cp:keywords/>
  <dc:description/>
  <cp:lastModifiedBy>Sérgio Augusto Furtado de Mello (MGI)</cp:lastModifiedBy>
  <cp:revision/>
  <dcterms:created xsi:type="dcterms:W3CDTF">2019-12-16T12:16:49Z</dcterms:created>
  <dcterms:modified xsi:type="dcterms:W3CDTF">2025-08-11T18:35:50Z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0x0101006F4C49D281836D4E92FD382DEA1B6B69</vt:lpwstr>
  </property>
  <property fmtid="{D5CDD505-2E9C-101B-9397-08002B2CF9AE}" pid="3" name="Order">
    <vt:r8>16160400</vt:r8>
  </property>
  <property fmtid="{D5CDD505-2E9C-101B-9397-08002B2CF9AE}" pid="4" name="MediaServiceImageTags">
    <vt:lpwstr/>
  </property>
</Properties>
</file>